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Introduction" sheetId="1" r:id="rId5"/>
    <sheet state="visible" name="Dashboard" sheetId="2" r:id="rId6"/>
    <sheet state="visible" name="How to Use" sheetId="3" r:id="rId7"/>
    <sheet state="visible" name="Control Checklist" sheetId="4" r:id="rId8"/>
    <sheet state="visible" name="AI Asset Inventory" sheetId="5" r:id="rId9"/>
    <sheet state="visible" name="Guardrails Matrix" sheetId="6" r:id="rId10"/>
    <sheet state="visible" name="Detection Library" sheetId="7" r:id="rId11"/>
    <sheet state="visible" name="Vendor Review" sheetId="8" r:id="rId12"/>
    <sheet state="visible" name="Incident Playbook" sheetId="9" r:id="rId13"/>
    <sheet state="visible" name="Reference Sources" sheetId="10" r:id="rId14"/>
    <sheet state="visible" name="Settings" sheetId="11" r:id="rId15"/>
  </sheets>
  <definedNames/>
  <calcPr/>
</workbook>
</file>

<file path=xl/sharedStrings.xml><?xml version="1.0" encoding="utf-8"?>
<sst xmlns="http://schemas.openxmlformats.org/spreadsheetml/2006/main" count="1276" uniqueCount="834">
  <si>
    <t>Enterprise AI Security &amp; Governance Checklist</t>
  </si>
  <si>
    <t>Created by Hamza Saleem</t>
  </si>
  <si>
    <t>Purpose</t>
  </si>
  <si>
    <t>This workbook helps organisations adopt AI safely by assessing governance, security, privacy, detection, and operational controls across enterprise AI usage, LLM applications, AI coding tools, RAG systems, and agentic workflows.</t>
  </si>
  <si>
    <t>The problem this tool solves</t>
  </si>
  <si>
    <t>Employees and teams are adopting tools such as ChatGPT, Claude, Gemini, Copilot, AI coding assistants, browser extensions, and AI SaaS faster than security controls can mature. This creates risks around sensitive data leakage, Shadow AI, prompt injection, unsafe agent actions, weak logging, and inconsistent governance.</t>
  </si>
  <si>
    <t>How to use it</t>
  </si>
  <si>
    <t>1. Start with AI Asset Inventory to identify where AI is being used.</t>
  </si>
  <si>
    <t>2. Use the Control Checklist to score maturity and collect evidence.</t>
  </si>
  <si>
    <t>3. Use the Guardrails Matrix and Detection Library to design practical controls.</t>
  </si>
  <si>
    <t>4. Use Vendor Review and Incident Playbook tabs for third-party AI and response readiness.</t>
  </si>
  <si>
    <t>Author profile</t>
  </si>
  <si>
    <t>Hamza Saleem is a cybersecurity professional with a decade of experience across GRC, application security, penetration testing, SOC/IR, DFIR, threat hunting, vulnerability management, security automation, cloud/security operations, and AI security. His work focuses on practical security engineering, AI adoption risk, detection and response, and building controls that enable innovation without exposing sensitive data.</t>
  </si>
  <si>
    <t>Relevant background</t>
  </si>
  <si>
    <t>Details</t>
  </si>
  <si>
    <t>Focus areas</t>
  </si>
  <si>
    <t>AI Security, AppSec, Detection Engineering, Security Automation, Secure AI Adoption, LLM/Agentic AI Controls</t>
  </si>
  <si>
    <t>GitHub</t>
  </si>
  <si>
    <t>https://github.com/hamxas/AI-security-governance-checklist</t>
  </si>
  <si>
    <t>Version</t>
  </si>
  <si>
    <t>Framework alignment</t>
  </si>
  <si>
    <t>This tool is inspired by NIST AI RMF, NIST Generative AI Profile, ISO/IEC 42001, ISO/IEC 23894, OWASP LLM Top 10, MITRE ATLAS, EU AI Act concepts, and CSA AI Controls Matrix. It is an operational checklist, not an official certification or replacement for legal/regulatory advice.</t>
  </si>
  <si>
    <t>Attribution</t>
  </si>
  <si>
    <t>When sharing or reusing this workbook, please credit: Enterprise AI Security &amp; Governance Checklist by Hamza Saleem.</t>
  </si>
  <si>
    <t>Disclaimer</t>
  </si>
  <si>
    <t>This workbook is provided for educational, assessment, and planning purposes. Organisations should tailor the controls to their own business context, regulatory environment, data classification model, and risk appetite.</t>
  </si>
  <si>
    <t>Enterprise AI Security &amp; Governance Dashboard</t>
  </si>
  <si>
    <t>Metric</t>
  </si>
  <si>
    <t>Value</t>
  </si>
  <si>
    <t>Total Controls</t>
  </si>
  <si>
    <t>Overall Maturity Score</t>
  </si>
  <si>
    <t>Critical Controls Implemented/Tested</t>
  </si>
  <si>
    <t>Controls Not Started</t>
  </si>
  <si>
    <t>Domain</t>
  </si>
  <si>
    <t>Control Count</t>
  </si>
  <si>
    <t>Avg Score</t>
  </si>
  <si>
    <t>Maturity Level</t>
  </si>
  <si>
    <t>Status</t>
  </si>
  <si>
    <t>Count</t>
  </si>
  <si>
    <t>AI Use Case Inventory</t>
  </si>
  <si>
    <t>Not Started</t>
  </si>
  <si>
    <t>Agentic AI Controls</t>
  </si>
  <si>
    <t>Planned</t>
  </si>
  <si>
    <t>Approved AI Tools &amp; Access</t>
  </si>
  <si>
    <t>Partial</t>
  </si>
  <si>
    <t>Data Classification &amp; Privacy</t>
  </si>
  <si>
    <t>Implemented</t>
  </si>
  <si>
    <t>Governance &amp; Operating Model</t>
  </si>
  <si>
    <t>Implemented &amp; Tested</t>
  </si>
  <si>
    <t>LLM Gateway &amp; Guardrails</t>
  </si>
  <si>
    <t>Automated &amp; Monitored</t>
  </si>
  <si>
    <t>Legal &amp; Compliance</t>
  </si>
  <si>
    <t>N/A</t>
  </si>
  <si>
    <t>Monitoring, Detection &amp; Response</t>
  </si>
  <si>
    <t>RAG &amp; Knowledge Controls</t>
  </si>
  <si>
    <t>Secure AI Development &amp; SDLC</t>
  </si>
  <si>
    <t>Training &amp; Change Management</t>
  </si>
  <si>
    <t>Vendor &amp; Third-Party Risk</t>
  </si>
  <si>
    <t>Enterprise AI Adoption Security &amp; Governance Checklist</t>
  </si>
  <si>
    <t>Use this workbook to assess whether an organization can adopt AI safely while controlling data leakage, Shadow AI, LLM application risks, agentic workflows, vendor risk, and incident response.</t>
  </si>
  <si>
    <t>How to score controls</t>
  </si>
  <si>
    <t>Update the Status column in the Control Checklist. Scores are formula-driven: Not Started=0, Planned=1, Partial=2, Implemented=3, Implemented &amp; Tested=4, Automated &amp; Monitored=5, N/A excluded.</t>
  </si>
  <si>
    <t>Suggested workflow</t>
  </si>
  <si>
    <t>1) Fill AI Asset Inventory. 2) Review Guardrails Matrix. 3) Complete Control Checklist. 4) Add detections in Detection Library. 5) Review Dashboard for maturity gaps.</t>
  </si>
  <si>
    <t>Target users</t>
  </si>
  <si>
    <t>Security architects, AppSec engineers, SOC/detection engineers, GRC, privacy, platform engineering, and AI product owners.</t>
  </si>
  <si>
    <t>Important note</t>
  </si>
  <si>
    <t>This is an assessment and planning aid, not legal advice or a certification replacement. Validate regulatory obligations with legal/compliance teams.</t>
  </si>
  <si>
    <t>Score</t>
  </si>
  <si>
    <t>Meaning</t>
  </si>
  <si>
    <t>Not implemented</t>
  </si>
  <si>
    <t>Planned but not implemented</t>
  </si>
  <si>
    <t>Partially implemented or inconsistent</t>
  </si>
  <si>
    <t>Implemented and tested</t>
  </si>
  <si>
    <t>Automated, monitored, and continuously improved</t>
  </si>
  <si>
    <t>Control ID</t>
  </si>
  <si>
    <t>Control</t>
  </si>
  <si>
    <t>Implementation Question</t>
  </si>
  <si>
    <t>Risk Addressed</t>
  </si>
  <si>
    <t>Framework Mapping</t>
  </si>
  <si>
    <t>Evidence to Collect</t>
  </si>
  <si>
    <t>Owner</t>
  </si>
  <si>
    <t>Priority</t>
  </si>
  <si>
    <t>Target Date</t>
  </si>
  <si>
    <t>Notes</t>
  </si>
  <si>
    <t>Source URL</t>
  </si>
  <si>
    <t>GOV-01</t>
  </si>
  <si>
    <t>AI governance ownership</t>
  </si>
  <si>
    <t>Is there a named executive owner and accountable AI risk forum for enterprise AI adoption?</t>
  </si>
  <si>
    <t>Unclear accountability and uncontrolled AI adoption</t>
  </si>
  <si>
    <t>NIST AI RMF Govern; ISO/IEC 42001 AIMS governance</t>
  </si>
  <si>
    <t>AI governance charter, RACI, steering forum minutes</t>
  </si>
  <si>
    <t>CISO / AI Governance Lead</t>
  </si>
  <si>
    <t>Critical</t>
  </si>
  <si>
    <t>https://www.nist.gov/itl/ai-risk-management-framework</t>
  </si>
  <si>
    <t>GOV-02</t>
  </si>
  <si>
    <t>AI acceptable use policy</t>
  </si>
  <si>
    <t>Is there a practical AI use policy defining approved tools, prohibited data, and escalation routes?</t>
  </si>
  <si>
    <t>Shadow AI, data leakage, misuse</t>
  </si>
  <si>
    <t>NIST AI RMF Govern; ISO/IEC 42001 policies</t>
  </si>
  <si>
    <t>Published policy, user attestation, comms evidence</t>
  </si>
  <si>
    <t>Security / Legal</t>
  </si>
  <si>
    <t>https://www.iso.org/standard/42001</t>
  </si>
  <si>
    <t>GOV-03</t>
  </si>
  <si>
    <t>AI risk appetite</t>
  </si>
  <si>
    <t>Has leadership defined which AI risks are acceptable, conditional, or prohibited?</t>
  </si>
  <si>
    <t>Inconsistent decisions and uncontrolled exceptions</t>
  </si>
  <si>
    <t>NIST AI RMF Govern; ISO/IEC 23894</t>
  </si>
  <si>
    <t>Risk appetite statement, exception process</t>
  </si>
  <si>
    <t>Risk / Compliance</t>
  </si>
  <si>
    <t>High</t>
  </si>
  <si>
    <t>https://www.iso.org/standard/77304.html</t>
  </si>
  <si>
    <t>GOV-04</t>
  </si>
  <si>
    <t>AI control ownership</t>
  </si>
  <si>
    <t>Are control owners assigned for DLP, gateway, identity, SOC, AppSec, vendor risk, and privacy controls?</t>
  </si>
  <si>
    <t>Control gaps due to unclear ownership</t>
  </si>
  <si>
    <t>ISO/IEC 42001; CSA AICM</t>
  </si>
  <si>
    <t>Control owner register, RACI</t>
  </si>
  <si>
    <t>Security Leadership</t>
  </si>
  <si>
    <t>https://cloudsecurityalliance.org/artifacts/ai-controls-matrix-v1-1</t>
  </si>
  <si>
    <t>GOV-05</t>
  </si>
  <si>
    <t>AI exception process</t>
  </si>
  <si>
    <t>Is there a documented exception process for high-risk AI use cases and blocked data types?</t>
  </si>
  <si>
    <t>Business bypasses controls without risk acceptance</t>
  </si>
  <si>
    <t>NIST AI RMF Manage; ISO/IEC 23894</t>
  </si>
  <si>
    <t>Risk acceptance records, approval workflow</t>
  </si>
  <si>
    <t>Risk / Security</t>
  </si>
  <si>
    <t>Medium</t>
  </si>
  <si>
    <t>GOV-06</t>
  </si>
  <si>
    <t>AI metrics and reporting</t>
  </si>
  <si>
    <t>Are AI usage, risk, incidents, exceptions, and control maturity reported to leadership?</t>
  </si>
  <si>
    <t>Leadership lacks visibility into AI risk</t>
  </si>
  <si>
    <t>NIST AI RMF Govern/Manage; ISO/IEC 42001 monitoring</t>
  </si>
  <si>
    <t>Monthly dashboard, KRIs/KPIs</t>
  </si>
  <si>
    <t>Security Governance</t>
  </si>
  <si>
    <t>INV-01</t>
  </si>
  <si>
    <t>AI use case inventory</t>
  </si>
  <si>
    <t>Is there an inventory of approved AI tools, internal AI apps, RAG systems, coding assistants, and agents?</t>
  </si>
  <si>
    <t>Unknown AI estate</t>
  </si>
  <si>
    <t>NIST AI RMF Map; ISO/IEC 23894</t>
  </si>
  <si>
    <t>AI asset register</t>
  </si>
  <si>
    <t>Security Architecture</t>
  </si>
  <si>
    <t>INV-02</t>
  </si>
  <si>
    <t>AI data flow mapping</t>
  </si>
  <si>
    <t>Are data inputs, outputs, storage, retention, and external model destinations documented for each AI use case?</t>
  </si>
  <si>
    <t>Unknown sensitive data exposure</t>
  </si>
  <si>
    <t>Data flow diagrams, architecture docs</t>
  </si>
  <si>
    <t>Platform / Data</t>
  </si>
  <si>
    <t>INV-03</t>
  </si>
  <si>
    <t>Model/provider register</t>
  </si>
  <si>
    <t>Are model providers, regions, retention settings, training-use terms, and contract status documented?</t>
  </si>
  <si>
    <t>Unapproved provider or unsafe data handling</t>
  </si>
  <si>
    <t>NIST AI RMF Map; Vendor risk</t>
  </si>
  <si>
    <t>Provider register, contract summary</t>
  </si>
  <si>
    <t>Procurement / Security</t>
  </si>
  <si>
    <t>https://www.nist.gov/publications/artificial-intelligence-risk-management-framework-generative-artificial-intelligence</t>
  </si>
  <si>
    <t>INV-04</t>
  </si>
  <si>
    <t>Shadow AI discovery</t>
  </si>
  <si>
    <t>Are unapproved AI tools discovered through SWG/CASB/DNS/endpoint/SaaS expense data?</t>
  </si>
  <si>
    <t>Uncontrolled AI adoption and data leakage</t>
  </si>
  <si>
    <t>NIST AI RMF Measure; CSA AICM</t>
  </si>
  <si>
    <t>Shadow AI dashboard, SWG/CASB reports</t>
  </si>
  <si>
    <t>SOC / Security Engineering</t>
  </si>
  <si>
    <t>INV-05</t>
  </si>
  <si>
    <t>Risk tiering</t>
  </si>
  <si>
    <t>Is every AI use case assigned a risk tier based on data sensitivity, user base, external exposure, autonomy, and impact?</t>
  </si>
  <si>
    <t>High-risk systems treated like low-risk tools</t>
  </si>
  <si>
    <t>NIST AI RMF Map/Measure; EU AI Act risk-based approach</t>
  </si>
  <si>
    <t>Risk tiering results</t>
  </si>
  <si>
    <t>Risk / Product Security</t>
  </si>
  <si>
    <t>https://digital-strategy.ec.europa.eu/en/policies/regulatory-framework-ai</t>
  </si>
  <si>
    <t>INV-06</t>
  </si>
  <si>
    <t>Lifecycle status</t>
  </si>
  <si>
    <t>Is each AI asset tracked from prototype to production, retirement, and periodic review?</t>
  </si>
  <si>
    <t>Prototype AI becomes production without controls</t>
  </si>
  <si>
    <t>ISO/IEC 42001 lifecycle management</t>
  </si>
  <si>
    <t>Lifecycle register, review dates</t>
  </si>
  <si>
    <t>AI Product Owner</t>
  </si>
  <si>
    <t>DAT-01</t>
  </si>
  <si>
    <t>AI data classification rules</t>
  </si>
  <si>
    <t>Are data classes defined for AI use: public, internal, confidential, restricted, PII, source code, and secrets?</t>
  </si>
  <si>
    <t>Sensitive data misuse</t>
  </si>
  <si>
    <t>NIST AI RMF Govern/Map; ISO/IEC 42001</t>
  </si>
  <si>
    <t>Data handling standard</t>
  </si>
  <si>
    <t>Privacy / Security</t>
  </si>
  <si>
    <t>DAT-02</t>
  </si>
  <si>
    <t>Prompt/file DLP scanning</t>
  </si>
  <si>
    <t>Are prompts and file uploads scanned before reaching external LLM providers?</t>
  </si>
  <si>
    <t>PII, customer data, source code, or secrets sent externally</t>
  </si>
  <si>
    <t>NIST GenAI Profile; CSA AICM</t>
  </si>
  <si>
    <t>DLP policy, test evidence, gateway logs</t>
  </si>
  <si>
    <t>DLP / Security Engineering</t>
  </si>
  <si>
    <t>DAT-03</t>
  </si>
  <si>
    <t>Secrets blocking</t>
  </si>
  <si>
    <t>Are API keys, tokens, private keys, passwords, and credentials blocked and escalated for rotation?</t>
  </si>
  <si>
    <t>Credential leakage via AI prompts</t>
  </si>
  <si>
    <t>OWASP LLM06; NIST GenAI Profile</t>
  </si>
  <si>
    <t>Secret scanner config, rotation workflow</t>
  </si>
  <si>
    <t>Security Engineering</t>
  </si>
  <si>
    <t>https://genai.owasp.org/llm-top-10/</t>
  </si>
  <si>
    <t>DAT-04</t>
  </si>
  <si>
    <t>PII redaction/tokenization</t>
  </si>
  <si>
    <t>Can the approved AI path redact or tokenize PII before model submission where required?</t>
  </si>
  <si>
    <t>Privacy breach and regulatory exposure</t>
  </si>
  <si>
    <t>NIST GenAI Profile; ISO/IEC 23894</t>
  </si>
  <si>
    <t>Redaction rules, sample test results</t>
  </si>
  <si>
    <t>Privacy Engineering</t>
  </si>
  <si>
    <t>DAT-05</t>
  </si>
  <si>
    <t>Data retention controls</t>
  </si>
  <si>
    <t>Are prompt, response, file upload, and model-provider retention settings defined and enforced?</t>
  </si>
  <si>
    <t>Sensitive logs retained too long</t>
  </si>
  <si>
    <t>ISO/IEC 42001; NIST AI RMF Govern</t>
  </si>
  <si>
    <t>Retention policy, provider settings</t>
  </si>
  <si>
    <t>Legal / Platform</t>
  </si>
  <si>
    <t>DAT-06</t>
  </si>
  <si>
    <t>Training-use prohibition</t>
  </si>
  <si>
    <t>Do contracts and configuration prevent company data from being used to train external models unless explicitly approved?</t>
  </si>
  <si>
    <t>Loss of confidential/IP data control</t>
  </si>
  <si>
    <t>NIST GenAI Profile; Vendor risk</t>
  </si>
  <si>
    <t>Contract clauses, admin settings</t>
  </si>
  <si>
    <t>Legal / Procurement</t>
  </si>
  <si>
    <t>ACC-01</t>
  </si>
  <si>
    <t>Approved AI tool catalogue</t>
  </si>
  <si>
    <t>Is there a maintained catalogue of approved AI tools and use cases?</t>
  </si>
  <si>
    <t>Users choose random unsafe AI tools</t>
  </si>
  <si>
    <t>NIST AI RMF Govern; ISO/IEC 42001</t>
  </si>
  <si>
    <t>Approved tools list, review dates</t>
  </si>
  <si>
    <t>ACC-02</t>
  </si>
  <si>
    <t>SSO and MFA for AI tools</t>
  </si>
  <si>
    <t>Are approved enterprise AI tools integrated with SSO, MFA, and central identity lifecycle?</t>
  </si>
  <si>
    <t>Account compromise or unmanaged access</t>
  </si>
  <si>
    <t>SSO config, access logs</t>
  </si>
  <si>
    <t>IAM</t>
  </si>
  <si>
    <t>ACC-03</t>
  </si>
  <si>
    <t>Role-based access</t>
  </si>
  <si>
    <t>Are AI capabilities such as file upload, code use, high-capability models, and agents limited by role and risk?</t>
  </si>
  <si>
    <t>Over-privileged users and broad data exposure</t>
  </si>
  <si>
    <t>NIST AI RMF Manage; CSA AICM</t>
  </si>
  <si>
    <t>RBAC matrix, group membership</t>
  </si>
  <si>
    <t>IAM / Platform</t>
  </si>
  <si>
    <t>ACC-04</t>
  </si>
  <si>
    <t>OAuth app governance</t>
  </si>
  <si>
    <t>Are AI SaaS OAuth grants to Gmail, Drive, Slack, GitHub, M365, and Jira monitored and approved?</t>
  </si>
  <si>
    <t>AI tools gain excessive access to enterprise data</t>
  </si>
  <si>
    <t>OAuth app review logs, blocked app list</t>
  </si>
  <si>
    <t>SaaS Security</t>
  </si>
  <si>
    <t>ACC-05</t>
  </si>
  <si>
    <t>Browser extension control</t>
  </si>
  <si>
    <t>Are AI browser extensions inventoried, risk-rated, blocked or allowlisted?</t>
  </si>
  <si>
    <t>Extensions read emails, internal apps, clipboard, or credentials</t>
  </si>
  <si>
    <t>MDM/browser policy, extension inventory</t>
  </si>
  <si>
    <t>Endpoint / IT</t>
  </si>
  <si>
    <t>ACC-06</t>
  </si>
  <si>
    <t>Unapproved AI restrictions</t>
  </si>
  <si>
    <t>Are personal/unapproved AI tools restricted through SWG/CASB after approved alternatives exist?</t>
  </si>
  <si>
    <t>Continued Shadow AI and data leakage</t>
  </si>
  <si>
    <t>SWG policy, block/warn rules</t>
  </si>
  <si>
    <t>Network Security</t>
  </si>
  <si>
    <t>GW-01</t>
  </si>
  <si>
    <t>Central LLM gateway</t>
  </si>
  <si>
    <t>Is there a central approved route for internal apps/developers to access external models?</t>
  </si>
  <si>
    <t>Fragmented API keys, no logs, no controls</t>
  </si>
  <si>
    <t>Gateway architecture, endpoint inventory</t>
  </si>
  <si>
    <t>Platform Security</t>
  </si>
  <si>
    <t>GW-02</t>
  </si>
  <si>
    <t>Model allowlist and routing</t>
  </si>
  <si>
    <t>Are models/providers allowlisted and routed based on use case, data sensitivity, region, and contract terms?</t>
  </si>
  <si>
    <t>Unapproved models used for sensitive data</t>
  </si>
  <si>
    <t>NIST AI RMF Govern/Manage</t>
  </si>
  <si>
    <t>Model routing policy</t>
  </si>
  <si>
    <t>AI Platform</t>
  </si>
  <si>
    <t>GW-03</t>
  </si>
  <si>
    <t>Prompt injection guardrails</t>
  </si>
  <si>
    <t>Are prompts and retrieved content checked for prompt injection and policy-bypass attempts?</t>
  </si>
  <si>
    <t>Instruction override, data exfiltration, unsafe behavior</t>
  </si>
  <si>
    <t>OWASP LLM01; MITRE ATLAS</t>
  </si>
  <si>
    <t>Test cases, guardrail logs</t>
  </si>
  <si>
    <t>AppSec / AI Security</t>
  </si>
  <si>
    <t>GW-04</t>
  </si>
  <si>
    <t>Output filtering</t>
  </si>
  <si>
    <t>Are model responses scanned for sensitive data, unsafe instructions, or policy violations before returning to users/apps?</t>
  </si>
  <si>
    <t>Sensitive information disclosure or unsafe downstream use</t>
  </si>
  <si>
    <t>OWASP LLM02/LLM06; NIST GenAI Profile</t>
  </si>
  <si>
    <t>Output filter results, block logs</t>
  </si>
  <si>
    <t>AI Security</t>
  </si>
  <si>
    <t>GW-05</t>
  </si>
  <si>
    <t>Prompt logging minimization</t>
  </si>
  <si>
    <t>Is logging designed to capture security metadata without unnecessarily storing sensitive prompt content?</t>
  </si>
  <si>
    <t>Security visibility conflicts with privacy</t>
  </si>
  <si>
    <t>Logging schema, retention decision</t>
  </si>
  <si>
    <t>Security / Privacy</t>
  </si>
  <si>
    <t>GW-06</t>
  </si>
  <si>
    <t>Rate limits and cost controls</t>
  </si>
  <si>
    <t>Are per-user, per-app, and per-model rate limits and budgets enforced?</t>
  </si>
  <si>
    <t>Model DoS, runaway agent loops, excessive cost</t>
  </si>
  <si>
    <t>OWASP LLM04; CSA AICM</t>
  </si>
  <si>
    <t>Rate limit config, cost reports</t>
  </si>
  <si>
    <t>GW-07</t>
  </si>
  <si>
    <t>Human warning and coaching</t>
  </si>
  <si>
    <t>Does the approved AI path warn users when risky data or use cases are detected?</t>
  </si>
  <si>
    <t>Users repeat unsafe behavior due to lack of feedback</t>
  </si>
  <si>
    <t>Warning messages, user feedback logs</t>
  </si>
  <si>
    <t>Security Awareness</t>
  </si>
  <si>
    <t>SDLC-01</t>
  </si>
  <si>
    <t>AI threat modelling</t>
  </si>
  <si>
    <t>Are LLM/RAG/agentic features threat-modelled before production?</t>
  </si>
  <si>
    <t>Security flaws in design</t>
  </si>
  <si>
    <t>NIST AI RMF Map; OWASP LLM Top 10</t>
  </si>
  <si>
    <t>Threat model records</t>
  </si>
  <si>
    <t>AppSec</t>
  </si>
  <si>
    <t>SDLC-02</t>
  </si>
  <si>
    <t>AI security review gate</t>
  </si>
  <si>
    <t>Do AI features pass security/privacy review before launch based on risk tier?</t>
  </si>
  <si>
    <t>High-risk AI deployed without controls</t>
  </si>
  <si>
    <t>ISO/IEC 42001; NIST AI RMF Manage</t>
  </si>
  <si>
    <t>Security review approvals</t>
  </si>
  <si>
    <t>Product Security</t>
  </si>
  <si>
    <t>SDLC-03</t>
  </si>
  <si>
    <t>SAST/SCA/secrets for AI code</t>
  </si>
  <si>
    <t>Are AI app repos covered by SAST, SCA, secret scanning, and dependency review?</t>
  </si>
  <si>
    <t>Supply chain and code vulnerabilities</t>
  </si>
  <si>
    <t>OWASP LLM05; secure SDLC</t>
  </si>
  <si>
    <t>CI/CD results, scanner config</t>
  </si>
  <si>
    <t>AppSec / DevSecOps</t>
  </si>
  <si>
    <t>SDLC-04</t>
  </si>
  <si>
    <t>Prompt and system prompt management</t>
  </si>
  <si>
    <t>Are system prompts version-controlled, reviewed, and protected from unauthorized changes?</t>
  </si>
  <si>
    <t>Prompt tampering and inconsistent controls</t>
  </si>
  <si>
    <t>OWASP LLM01; NIST GenAI Profile</t>
  </si>
  <si>
    <t>Prompt repo, approvals</t>
  </si>
  <si>
    <t>AI Engineering</t>
  </si>
  <si>
    <t>SDLC-05</t>
  </si>
  <si>
    <t>AI red team testing</t>
  </si>
  <si>
    <t>Are AI apps tested for prompt injection, data leakage, tool abuse, jailbreaks, and RAG poisoning?</t>
  </si>
  <si>
    <t>Unknown exploitable AI failure modes</t>
  </si>
  <si>
    <t>NIST GenAI Profile; MITRE ATLAS; OWASP</t>
  </si>
  <si>
    <t>Red team report, test cases</t>
  </si>
  <si>
    <t>AI Security / Red Team</t>
  </si>
  <si>
    <t>https://atlas.mitre.org/</t>
  </si>
  <si>
    <t>SDLC-06</t>
  </si>
  <si>
    <t>Insecure output handling checks</t>
  </si>
  <si>
    <t>Is model output treated as untrusted before being used in code, SQL, shell commands, HTML, or API calls?</t>
  </si>
  <si>
    <t>Downstream code execution, injection, XSS, unsafe automation</t>
  </si>
  <si>
    <t>OWASP LLM02</t>
  </si>
  <si>
    <t>Code review checklist, tests</t>
  </si>
  <si>
    <t>RAG-01</t>
  </si>
  <si>
    <t>RAG access control inheritance</t>
  </si>
  <si>
    <t>Does RAG retrieval respect source-system permissions for each user?</t>
  </si>
  <si>
    <t>Users retrieve documents they should not access</t>
  </si>
  <si>
    <t>OWASP LLM06; NIST AI RMF Map</t>
  </si>
  <si>
    <t>RAG ACL test results</t>
  </si>
  <si>
    <t>Data Platform</t>
  </si>
  <si>
    <t>RAG-02</t>
  </si>
  <si>
    <t>Knowledge base classification</t>
  </si>
  <si>
    <t>Are indexed documents classified and restricted before being exposed to RAG?</t>
  </si>
  <si>
    <t>Sensitive data appears in chatbot answers</t>
  </si>
  <si>
    <t>Indexing rules, classification report</t>
  </si>
  <si>
    <t>Data Governance</t>
  </si>
  <si>
    <t>RAG-03</t>
  </si>
  <si>
    <t>RAG poisoning controls</t>
  </si>
  <si>
    <t>Are document ingestion sources authenticated, approved, scanned, and monitored for poisoning?</t>
  </si>
  <si>
    <t>Malicious content manipulates model output</t>
  </si>
  <si>
    <t>OWASP LLM03; MITRE ATLAS</t>
  </si>
  <si>
    <t>Ingestion pipeline controls</t>
  </si>
  <si>
    <t>AI Platform / AppSec</t>
  </si>
  <si>
    <t>RAG-04</t>
  </si>
  <si>
    <t>Citation and provenance</t>
  </si>
  <si>
    <t>Do RAG responses show source references and confidence/provenance where appropriate?</t>
  </si>
  <si>
    <t>Users act on unsupported or hallucinated answers</t>
  </si>
  <si>
    <t>NIST GenAI Profile; NIST AI RMF Measure</t>
  </si>
  <si>
    <t>Response examples, evaluation results</t>
  </si>
  <si>
    <t>RAG-05</t>
  </si>
  <si>
    <t>RAG retrieval logging</t>
  </si>
  <si>
    <t>Are retrieved document IDs, source collections, and access decisions logged?</t>
  </si>
  <si>
    <t>Difficult investigation after data exposure</t>
  </si>
  <si>
    <t>RAG logs, SIEM fields</t>
  </si>
  <si>
    <t>AGT-01</t>
  </si>
  <si>
    <t>Agent inventory</t>
  </si>
  <si>
    <t>Are all agents that can call tools, APIs, code, email, tickets, or databases inventoried?</t>
  </si>
  <si>
    <t>Unknown autonomous actions</t>
  </si>
  <si>
    <t>NIST AI RMF Map; MITRE ATLAS</t>
  </si>
  <si>
    <t>Agent register</t>
  </si>
  <si>
    <t>AGT-02</t>
  </si>
  <si>
    <t>Tool permission model</t>
  </si>
  <si>
    <t>Are agent tools least-privilege, scoped to user/context, and separated by environment?</t>
  </si>
  <si>
    <t>Excessive agency and unauthorized actions</t>
  </si>
  <si>
    <t>OWASP LLM08; NIST GenAI Profile</t>
  </si>
  <si>
    <t>Tool permission matrix</t>
  </si>
  <si>
    <t>AGT-03</t>
  </si>
  <si>
    <t>Human approval gates</t>
  </si>
  <si>
    <t>Do high-risk agent actions require human approval before execution?</t>
  </si>
  <si>
    <t>Unauthorized email, data export, cloud changes, production impact</t>
  </si>
  <si>
    <t>OWASP LLM08; NIST AI RMF Manage</t>
  </si>
  <si>
    <t>Approval workflow, audit logs</t>
  </si>
  <si>
    <t>AI Product / Security</t>
  </si>
  <si>
    <t>AGT-04</t>
  </si>
  <si>
    <t>Tool call logging</t>
  </si>
  <si>
    <t>Are agent plans, tool calls, parameters, results, and approvals logged for investigation?</t>
  </si>
  <si>
    <t>No audit trail for autonomous actions</t>
  </si>
  <si>
    <t>NIST AI RMF Measure; MITRE ATLAS</t>
  </si>
  <si>
    <t>Agent execution logs</t>
  </si>
  <si>
    <t>SOC / AI Platform</t>
  </si>
  <si>
    <t>AGT-05</t>
  </si>
  <si>
    <t>Agent loop controls</t>
  </si>
  <si>
    <t>Are execution time, recursion, token, cost, and action limits enforced?</t>
  </si>
  <si>
    <t>Runaway agents, DoS, cost spike</t>
  </si>
  <si>
    <t>OWASP LLM04/LLM08</t>
  </si>
  <si>
    <t>Runtime limits, alerts</t>
  </si>
  <si>
    <t>AGT-06</t>
  </si>
  <si>
    <t>Production action restrictions</t>
  </si>
  <si>
    <t>Are agents restricted from direct production modifications unless explicitly approved and logged?</t>
  </si>
  <si>
    <t>Production outage or unauthorized change</t>
  </si>
  <si>
    <t>NIST AI RMF Manage; ISO/IEC 42001</t>
  </si>
  <si>
    <t>Change policy, technical controls</t>
  </si>
  <si>
    <t>Platform / Change Mgmt</t>
  </si>
  <si>
    <t>DET-01</t>
  </si>
  <si>
    <t>AI log onboarding</t>
  </si>
  <si>
    <t>Are LLM gateway, enterprise AI, CASB/SWG, DLP, OAuth, endpoint, and code repo logs onboarded to SIEM?</t>
  </si>
  <si>
    <t>No detection visibility</t>
  </si>
  <si>
    <t>SIEM data source list</t>
  </si>
  <si>
    <t>SOC Engineering</t>
  </si>
  <si>
    <t>DET-02</t>
  </si>
  <si>
    <t>Sensitive data to AI detections</t>
  </si>
  <si>
    <t>Are detections in place for PII, secrets, source code, HR, finance, legal, or customer data sent to AI tools?</t>
  </si>
  <si>
    <t>Data leakage to AI services</t>
  </si>
  <si>
    <t>NIST GenAI Profile; OWASP LLM06</t>
  </si>
  <si>
    <t>SIEM rules, DLP alerts</t>
  </si>
  <si>
    <t>SOC / DLP</t>
  </si>
  <si>
    <t>DET-03</t>
  </si>
  <si>
    <t>Shadow AI detections</t>
  </si>
  <si>
    <t>Are detections in place for unapproved AI websites, APIs, browser extensions, and OAuth apps?</t>
  </si>
  <si>
    <t>Uncontrolled AI usage</t>
  </si>
  <si>
    <t>SWG/CASB alerts, OAuth rules</t>
  </si>
  <si>
    <t>SOC / SaaS Security</t>
  </si>
  <si>
    <t>DET-04</t>
  </si>
  <si>
    <t>Prompt injection detections</t>
  </si>
  <si>
    <t>Are prompt injection attempts logged and alerted where they target internal AI apps or RAG systems?</t>
  </si>
  <si>
    <t>Attempted data exfiltration or control bypass</t>
  </si>
  <si>
    <t>Detection rules, test prompts</t>
  </si>
  <si>
    <t>SOC / AppSec</t>
  </si>
  <si>
    <t>DET-05</t>
  </si>
  <si>
    <t>AI API abuse detection</t>
  </si>
  <si>
    <t>Are token spikes, unusual models, new API clients, cost anomalies, and failed guardrail events detected?</t>
  </si>
  <si>
    <t>API key abuse, DoS, runaway use</t>
  </si>
  <si>
    <t>Cost anomaly rules, rate alerts</t>
  </si>
  <si>
    <t>DET-06</t>
  </si>
  <si>
    <t>AI incident classification</t>
  </si>
  <si>
    <t>Are AI-related incidents classified and triaged separately for data leakage, prompt injection, model abuse, and agent misuse?</t>
  </si>
  <si>
    <t>AI incidents handled inconsistently</t>
  </si>
  <si>
    <t>NIST GenAI Profile; ISO/IEC 42001</t>
  </si>
  <si>
    <t>Incident taxonomy, playbooks</t>
  </si>
  <si>
    <t>SOC / IR</t>
  </si>
  <si>
    <t>DET-07</t>
  </si>
  <si>
    <t>Detection tuning process</t>
  </si>
  <si>
    <t>Are AI alerts measured for false positives, missed detections, response time, and business impact?</t>
  </si>
  <si>
    <t>Alert fatigue or ineffective controls</t>
  </si>
  <si>
    <t>NIST AI RMF Measure/Manage</t>
  </si>
  <si>
    <t>Tuning records, metrics</t>
  </si>
  <si>
    <t>VND-01</t>
  </si>
  <si>
    <t>AI vendor security review</t>
  </si>
  <si>
    <t>Are AI vendors assessed for data use, retention, training, region, encryption, access, logging, and incident notification?</t>
  </si>
  <si>
    <t>Vendor-driven data/security risk</t>
  </si>
  <si>
    <t>Vendor questionnaire, security review</t>
  </si>
  <si>
    <t>Vendor Risk</t>
  </si>
  <si>
    <t>VND-02</t>
  </si>
  <si>
    <t>Contract clauses for AI data</t>
  </si>
  <si>
    <t>Do contracts prohibit training on company data and define retention, subprocessors, audit, and breach notification?</t>
  </si>
  <si>
    <t>Contractual loss of data control</t>
  </si>
  <si>
    <t>DPA/MSA clauses</t>
  </si>
  <si>
    <t>VND-03</t>
  </si>
  <si>
    <t>Model/provider concentration risk</t>
  </si>
  <si>
    <t>Is dependency on a single model/provider assessed for availability, cost, lock-in, and compliance?</t>
  </si>
  <si>
    <t>Operational resilience and lock-in risk</t>
  </si>
  <si>
    <t>ISO/IEC 23894; NIST AI RMF Manage</t>
  </si>
  <si>
    <t>Resilience assessment</t>
  </si>
  <si>
    <t>Architecture / Procurement</t>
  </si>
  <si>
    <t>VND-04</t>
  </si>
  <si>
    <t>AI tool onboarding checklist</t>
  </si>
  <si>
    <t>Is every new AI SaaS/tool reviewed before purchase, trial, OAuth consent, or integration?</t>
  </si>
  <si>
    <t>Unreviewed tools gain access to data</t>
  </si>
  <si>
    <t>Procurement workflow evidence</t>
  </si>
  <si>
    <t>VND-05</t>
  </si>
  <si>
    <t>Third-party model transparency</t>
  </si>
  <si>
    <t>Are model cards, safety documentation, limitations, and evaluation evidence reviewed where available?</t>
  </si>
  <si>
    <t>Unknown model limitations and risks</t>
  </si>
  <si>
    <t>NIST AI RMF Measure; NIST GenAI Profile</t>
  </si>
  <si>
    <t>Vendor docs, evaluation notes</t>
  </si>
  <si>
    <t>AI Governance</t>
  </si>
  <si>
    <t>TRN-01</t>
  </si>
  <si>
    <t>AI security awareness</t>
  </si>
  <si>
    <t>Are employees trained on approved tools, prohibited data, prompt safety, and reporting AI incidents?</t>
  </si>
  <si>
    <t>Unsafe user behavior and Shadow AI</t>
  </si>
  <si>
    <t>NIST AI RMF Govern; ISO/IEC 42001 competence</t>
  </si>
  <si>
    <t>Training records, comms plan</t>
  </si>
  <si>
    <t>TRN-02</t>
  </si>
  <si>
    <t>Developer AI security training</t>
  </si>
  <si>
    <t>Are developers trained on LLM Top 10, RAG risks, agent risks, insecure output handling, and AI secure SDLC?</t>
  </si>
  <si>
    <t>Insecure AI applications</t>
  </si>
  <si>
    <t>OWASP LLM Top 10; MITRE ATLAS</t>
  </si>
  <si>
    <t>Training records, labs</t>
  </si>
  <si>
    <t>TRN-03</t>
  </si>
  <si>
    <t>User coaching at point of risk</t>
  </si>
  <si>
    <t>Do controls provide real-time warnings when users paste secrets, PII, or restricted documents into AI?</t>
  </si>
  <si>
    <t>Users do not learn from blocked actions</t>
  </si>
  <si>
    <t>NIST AI RMF Manage</t>
  </si>
  <si>
    <t>Warning examples, logs</t>
  </si>
  <si>
    <t>DLP / Security Awareness</t>
  </si>
  <si>
    <t>TRN-04</t>
  </si>
  <si>
    <t>AI champions network</t>
  </si>
  <si>
    <t>Are business and engineering AI champions trained to promote safe adoption and escalate risks?</t>
  </si>
  <si>
    <t>Security team becomes bottleneck</t>
  </si>
  <si>
    <t>Champion roster, meeting notes</t>
  </si>
  <si>
    <t>Low</t>
  </si>
  <si>
    <t>CMP-01</t>
  </si>
  <si>
    <t>Regulatory applicability review</t>
  </si>
  <si>
    <t>Are AI use cases reviewed for GDPR, EU AI Act, sector rules, employment, consumer, healthcare, or financial regulations?</t>
  </si>
  <si>
    <t>Regulatory non-compliance</t>
  </si>
  <si>
    <t>EU AI Act; ISO/IEC 23894</t>
  </si>
  <si>
    <t>Legal review records</t>
  </si>
  <si>
    <t>Legal / Compliance</t>
  </si>
  <si>
    <t>CMP-02</t>
  </si>
  <si>
    <t>High-risk AI assessment</t>
  </si>
  <si>
    <t>Are potentially high-risk AI systems assessed and documented before deployment?</t>
  </si>
  <si>
    <t>Missing high-risk AI obligations</t>
  </si>
  <si>
    <t>EU AI Act risk-based classification; NIST AI RMF Map</t>
  </si>
  <si>
    <t>High-risk assessment docs</t>
  </si>
  <si>
    <t>Legal / AI Governance</t>
  </si>
  <si>
    <t>CMP-03</t>
  </si>
  <si>
    <t>Transparency and user notice</t>
  </si>
  <si>
    <t>Are users informed when they interact with AI or AI-generated outputs where required?</t>
  </si>
  <si>
    <t>Transparency and trust failures</t>
  </si>
  <si>
    <t>EU AI Act; NIST AI RMF Govern</t>
  </si>
  <si>
    <t>User notices, UI examples</t>
  </si>
  <si>
    <t>Product / Legal</t>
  </si>
  <si>
    <t>CMP-04</t>
  </si>
  <si>
    <t>Auditability and evidence</t>
  </si>
  <si>
    <t>Is evidence retained for AI risk decisions, control tests, vendor approvals, and incident handling?</t>
  </si>
  <si>
    <t>Cannot prove governance/control operation</t>
  </si>
  <si>
    <t>Evidence register</t>
  </si>
  <si>
    <t>Compliance</t>
  </si>
  <si>
    <t>AI Asset ID</t>
  </si>
  <si>
    <t>AI Use Case / Tool</t>
  </si>
  <si>
    <t>Business Function</t>
  </si>
  <si>
    <t>User Group</t>
  </si>
  <si>
    <t>AI Type</t>
  </si>
  <si>
    <t>Provider / Model</t>
  </si>
  <si>
    <t>Internal or External</t>
  </si>
  <si>
    <t>Data Classification</t>
  </si>
  <si>
    <t>File Uploads?</t>
  </si>
  <si>
    <t>RAG?</t>
  </si>
  <si>
    <t>Agent / Tool Use?</t>
  </si>
  <si>
    <t>Risk Tier</t>
  </si>
  <si>
    <t>Current Controls</t>
  </si>
  <si>
    <t>Key Gaps</t>
  </si>
  <si>
    <t>Review Status</t>
  </si>
  <si>
    <t>Next Review</t>
  </si>
  <si>
    <t>AI-001</t>
  </si>
  <si>
    <t>Example: Enterprise AI Chat Portal</t>
  </si>
  <si>
    <t>Security / Platform</t>
  </si>
  <si>
    <t>All business functions</t>
  </si>
  <si>
    <t>All employees</t>
  </si>
  <si>
    <t>Chat / document assistant</t>
  </si>
  <si>
    <t>Claude / GPT via approved gateway</t>
  </si>
  <si>
    <t>External model via approved gateway</t>
  </si>
  <si>
    <t>Internal</t>
  </si>
  <si>
    <t>Yes</t>
  </si>
  <si>
    <t>Optional</t>
  </si>
  <si>
    <t>No</t>
  </si>
  <si>
    <t>SSO, DLP, logging, model allowlist</t>
  </si>
  <si>
    <t>Output filtering and SIEM detections not fully tuned</t>
  </si>
  <si>
    <t>Replace this row with your own asset</t>
  </si>
  <si>
    <t>AI-002</t>
  </si>
  <si>
    <t>Example: Developer Coding Assistant</t>
  </si>
  <si>
    <t>Engineering</t>
  </si>
  <si>
    <t>Software Engineering</t>
  </si>
  <si>
    <t>Developers</t>
  </si>
  <si>
    <t>Coding assistant / CLI</t>
  </si>
  <si>
    <t>Approved coding model via gateway</t>
  </si>
  <si>
    <t>External model via gateway</t>
  </si>
  <si>
    <t>Confidential / Source Code</t>
  </si>
  <si>
    <t>Limited local tool use</t>
  </si>
  <si>
    <t>SSO, repo allowlist, secret scanning</t>
  </si>
  <si>
    <t>Need endpoint process telemetry and PR risk checks</t>
  </si>
  <si>
    <t>Data / Use Case</t>
  </si>
  <si>
    <t>Public</t>
  </si>
  <si>
    <t>Confidential</t>
  </si>
  <si>
    <t>Restricted</t>
  </si>
  <si>
    <t>Secrets / Credentials</t>
  </si>
  <si>
    <t>Recommended Control Pattern</t>
  </si>
  <si>
    <t>General Q&amp;A / brainstorming</t>
  </si>
  <si>
    <t>Allow</t>
  </si>
  <si>
    <t>Warn</t>
  </si>
  <si>
    <t>Block</t>
  </si>
  <si>
    <t>Enterprise AI workspace or portal with logging</t>
  </si>
  <si>
    <t>Use approved tools; no personal accounts.</t>
  </si>
  <si>
    <t>Email drafting</t>
  </si>
  <si>
    <t>Redact</t>
  </si>
  <si>
    <t>Exception Required</t>
  </si>
  <si>
    <t>DLP + user warning + no vendor training</t>
  </si>
  <si>
    <t>Watch for customer/HR/legal context.</t>
  </si>
  <si>
    <t>Document summarisation</t>
  </si>
  <si>
    <t>Redact / Tokenize</t>
  </si>
  <si>
    <t>File DLP + data classification + retention rules</t>
  </si>
  <si>
    <t>Large uploads should be logged.</t>
  </si>
  <si>
    <t>Code assistance</t>
  </si>
  <si>
    <t>Approved coding assistant/gateway + secret scanning</t>
  </si>
  <si>
    <t>Block .env, keys, private code to unapproved tools.</t>
  </si>
  <si>
    <t>Customer support analysis</t>
  </si>
  <si>
    <t>Tokenize</t>
  </si>
  <si>
    <t>Approved workflow with PII tokenization and audit</t>
  </si>
  <si>
    <t>Use case-specific approval required.</t>
  </si>
  <si>
    <t>RAG knowledge search</t>
  </si>
  <si>
    <t>Allow with ACLs</t>
  </si>
  <si>
    <t>RAG ACL inheritance + source citation + retrieval logs</t>
  </si>
  <si>
    <t>Do not index restricted sources by default.</t>
  </si>
  <si>
    <t>Agent sends email / changes ticket</t>
  </si>
  <si>
    <t>Human Approval</t>
  </si>
  <si>
    <t>Tool permission broker + human-in-loop</t>
  </si>
  <si>
    <t>Agent actions must be auditable.</t>
  </si>
  <si>
    <t>Agent modifies cloud/production</t>
  </si>
  <si>
    <t>No direct production changes unless formal change approval</t>
  </si>
  <si>
    <t>Usually too risky for general adoption.</t>
  </si>
  <si>
    <t>Detection ID</t>
  </si>
  <si>
    <t>Detection Use Case</t>
  </si>
  <si>
    <t>Primary Log Sources</t>
  </si>
  <si>
    <t>Logic / Signal</t>
  </si>
  <si>
    <t>Severity</t>
  </si>
  <si>
    <t>Response Action</t>
  </si>
  <si>
    <t>Mapped Risk</t>
  </si>
  <si>
    <t>DET-AI-001</t>
  </si>
  <si>
    <t>Sensitive data sent to public AI</t>
  </si>
  <si>
    <t>SWG/CASB, DLP, Identity</t>
  </si>
  <si>
    <t>Prompt/upload to unapproved AI domain contains PII, confidential keywords, source code, or classified labels</t>
  </si>
  <si>
    <t>Block or warn; alert SOC; notify data owner</t>
  </si>
  <si>
    <t>Data leakage</t>
  </si>
  <si>
    <t>Tune DLP to reduce false positives.</t>
  </si>
  <si>
    <t>DET-AI-002</t>
  </si>
  <si>
    <t>Secrets pasted into AI</t>
  </si>
  <si>
    <t>DLP, gateway logs, secret scanner</t>
  </si>
  <si>
    <t>AWS/GCP/Azure keys, GitHub tokens, private keys, JWTs, .env patterns in prompt/file</t>
  </si>
  <si>
    <t>Block; create incident; rotate secret</t>
  </si>
  <si>
    <t>Credential leakage</t>
  </si>
  <si>
    <t>Use trufflehog/detect-secrets patterns.</t>
  </si>
  <si>
    <t>DET-AI-003</t>
  </si>
  <si>
    <t>Unapproved AI SaaS usage</t>
  </si>
  <si>
    <t>SWG/CASB, DNS, firewall</t>
  </si>
  <si>
    <t>User accesses known AI tool not in approved catalogue</t>
  </si>
  <si>
    <t>Warn/block based on phase; route to approved portal</t>
  </si>
  <si>
    <t>Shadow AI</t>
  </si>
  <si>
    <t>Start in monitor-only mode.</t>
  </si>
  <si>
    <t>DET-AI-004</t>
  </si>
  <si>
    <t>Risky AI OAuth grant</t>
  </si>
  <si>
    <t>Google/M365/Okta/GitHub audit logs</t>
  </si>
  <si>
    <t>New OAuth app with AI-related name requests Drive/Gmail/Slack/GitHub read/write scopes</t>
  </si>
  <si>
    <t>Revoke or approve; investigate user/data access</t>
  </si>
  <si>
    <t>SaaS data exposure</t>
  </si>
  <si>
    <t>CSA AICM; NIST GenAI Profile</t>
  </si>
  <si>
    <t>Maintain approved app list.</t>
  </si>
  <si>
    <t>DET-AI-005</t>
  </si>
  <si>
    <t>Prompt injection attempt</t>
  </si>
  <si>
    <t>LLM gateway/app logs</t>
  </si>
  <si>
    <t>Prompt contains instruction override, system prompt request, exfiltrate docs, bypass controls, jailbreak indicators</t>
  </si>
  <si>
    <t>Log/alert; block if targeting internal/RAG app</t>
  </si>
  <si>
    <t>Prompt injection</t>
  </si>
  <si>
    <t>AppSec / SOC</t>
  </si>
  <si>
    <t>Classifier + pattern detection.</t>
  </si>
  <si>
    <t>DET-AI-006</t>
  </si>
  <si>
    <t>RAG ACL violation attempt</t>
  </si>
  <si>
    <t>RAG retrieval logs, identity logs</t>
  </si>
  <si>
    <t>User retrieves or requests documents outside their source-system permissions</t>
  </si>
  <si>
    <t>Block response; incident; fix ACL/index</t>
  </si>
  <si>
    <t>Unauthorized data access</t>
  </si>
  <si>
    <t>OWASP LLM06; NIST AI RMF Measure</t>
  </si>
  <si>
    <t>Requires document IDs in logs.</t>
  </si>
  <si>
    <t>DET-AI-007</t>
  </si>
  <si>
    <t>Agent risky tool call</t>
  </si>
  <si>
    <t>Agent logs, API logs, IAM logs</t>
  </si>
  <si>
    <t>Agent calls email/send, db export, cloud modify, delete, production commands, or unusual tool chain</t>
  </si>
  <si>
    <t>Require approval; alert SOC</t>
  </si>
  <si>
    <t>Excessive agency</t>
  </si>
  <si>
    <t>OWASP LLM08; MITRE ATLAS</t>
  </si>
  <si>
    <t>AI Platform / SOC</t>
  </si>
  <si>
    <t>Separate read/write tools.</t>
  </si>
  <si>
    <t>DET-AI-008</t>
  </si>
  <si>
    <t>LLM API abuse/cost spike</t>
  </si>
  <si>
    <t>Gateway logs, billing, API gateway</t>
  </si>
  <si>
    <t>High token volume, unusual model, repeated failures, new client/app, abnormal cost</t>
  </si>
  <si>
    <t>Throttle; investigate key; rotate if needed</t>
  </si>
  <si>
    <t>Model DoS / abuse</t>
  </si>
  <si>
    <t>OWASP LLM04</t>
  </si>
  <si>
    <t>Use per-user budget baselines.</t>
  </si>
  <si>
    <t>DET-AI-009</t>
  </si>
  <si>
    <t>AI browser extension risk</t>
  </si>
  <si>
    <t>MDM, browser management, EDR</t>
  </si>
  <si>
    <t>Extension with read-all-sites, clipboard, Gmail/Drive, internal app access, or unknown publisher</t>
  </si>
  <si>
    <t>Block/remove; notify user; review extension</t>
  </si>
  <si>
    <t>Shadow AI / data exposure</t>
  </si>
  <si>
    <t>CSA AICM</t>
  </si>
  <si>
    <t>High value control.</t>
  </si>
  <si>
    <t>DET-AI-010</t>
  </si>
  <si>
    <t>AI-generated insecure code in PR</t>
  </si>
  <si>
    <t>GitHub/GitLab, CI/CD, SAST/SCA/secrets</t>
  </si>
  <si>
    <t>PR after AI-assisted coding adds insecure pattern, secret, unsafe dependency, auth/IAM change</t>
  </si>
  <si>
    <t>Block merge; AppSec review</t>
  </si>
  <si>
    <t>Insecure output handling / supply chain</t>
  </si>
  <si>
    <t>OWASP LLM02/LLM05</t>
  </si>
  <si>
    <t>Focus on critical repos first.</t>
  </si>
  <si>
    <t>Question ID</t>
  </si>
  <si>
    <t>Review Area</t>
  </si>
  <si>
    <t>Question</t>
  </si>
  <si>
    <t>Risk if Weak</t>
  </si>
  <si>
    <t>Evidence / Expected Answer</t>
  </si>
  <si>
    <t>VR-01</t>
  </si>
  <si>
    <t>Data Use</t>
  </si>
  <si>
    <t>Does the vendor use customer prompts/files/responses to train models by default?</t>
  </si>
  <si>
    <t>Company data could improve external models</t>
  </si>
  <si>
    <t>No training on company data; contractual commitment</t>
  </si>
  <si>
    <t>VR-02</t>
  </si>
  <si>
    <t>Retention</t>
  </si>
  <si>
    <t>What is the prompt/file/response retention period and can it be configured?</t>
  </si>
  <si>
    <t>Sensitive data retained too long</t>
  </si>
  <si>
    <t>Retention period documented; configurable; deletion process</t>
  </si>
  <si>
    <t>VR-03</t>
  </si>
  <si>
    <t>Access Control</t>
  </si>
  <si>
    <t>Does the product support SSO, SCIM, MFA, RBAC, and admin roles?</t>
  </si>
  <si>
    <t>Unmanaged account access</t>
  </si>
  <si>
    <t>SSO/SCIM enabled; roles documented</t>
  </si>
  <si>
    <t>VR-04</t>
  </si>
  <si>
    <t>Logging</t>
  </si>
  <si>
    <t>What audit logs are available and can they be exported to SIEM?</t>
  </si>
  <si>
    <t>No investigation evidence</t>
  </si>
  <si>
    <t>User/model/file/action logs exportable</t>
  </si>
  <si>
    <t>VR-05</t>
  </si>
  <si>
    <t>Data Residency</t>
  </si>
  <si>
    <t>Where is data processed and stored?</t>
  </si>
  <si>
    <t>Regulatory or contractual violation</t>
  </si>
  <si>
    <t>Regions documented and approved</t>
  </si>
  <si>
    <t>VR-06</t>
  </si>
  <si>
    <t>Subprocessors</t>
  </si>
  <si>
    <t>Which subprocessors can access AI data?</t>
  </si>
  <si>
    <t>Unknown third-party exposure</t>
  </si>
  <si>
    <t>Subprocessor list and notification process</t>
  </si>
  <si>
    <t>VR-07</t>
  </si>
  <si>
    <t>Security Testing</t>
  </si>
  <si>
    <t>Does vendor provide SOC 2/ISO 27001, pen test summary, vulnerability process, and incident notification SLA?</t>
  </si>
  <si>
    <t>Weak vendor security assurance</t>
  </si>
  <si>
    <t>Reports reviewed and acceptable</t>
  </si>
  <si>
    <t>VR-08</t>
  </si>
  <si>
    <t>Model Controls</t>
  </si>
  <si>
    <t>Can admins restrict models, features, connectors, file uploads, and external sharing?</t>
  </si>
  <si>
    <t>Users bypass safe usage rules</t>
  </si>
  <si>
    <t>Admin controls tested</t>
  </si>
  <si>
    <t>VR-09</t>
  </si>
  <si>
    <t>Connectors/OAuth</t>
  </si>
  <si>
    <t>What scopes are required for Google/M365/Slack/GitHub/Jira connectors?</t>
  </si>
  <si>
    <t>Overbroad data access</t>
  </si>
  <si>
    <t>Least-privilege scopes documented</t>
  </si>
  <si>
    <t>VR-10</t>
  </si>
  <si>
    <t>Incident Response</t>
  </si>
  <si>
    <t>How will the vendor notify and support investigation of AI/data incidents?</t>
  </si>
  <si>
    <t>Delayed breach response</t>
  </si>
  <si>
    <t>Incident process and SLA in contract</t>
  </si>
  <si>
    <t>Phase</t>
  </si>
  <si>
    <t>Step</t>
  </si>
  <si>
    <t>Action</t>
  </si>
  <si>
    <t>Evidence / Logs</t>
  </si>
  <si>
    <t>Prepare</t>
  </si>
  <si>
    <t>1</t>
  </si>
  <si>
    <t>Define AI incident categories: data leakage, secrets in prompt, prompt injection, RAG leak, agent misuse, AI API key abuse</t>
  </si>
  <si>
    <t>Incident taxonomy</t>
  </si>
  <si>
    <t>Detect</t>
  </si>
  <si>
    <t>2</t>
  </si>
  <si>
    <t>Correlate AI gateway, DLP, SWG/CASB, identity, OAuth, endpoint, Git, and cloud logs</t>
  </si>
  <si>
    <t>SOC</t>
  </si>
  <si>
    <t>SIEM alert, DLP event, gateway request ID</t>
  </si>
  <si>
    <t>Triage</t>
  </si>
  <si>
    <t>3</t>
  </si>
  <si>
    <t>Identify user, app/tool, model provider, data involved, classification, action taken, and whether data reached external provider</t>
  </si>
  <si>
    <t>SOC / Data Owner</t>
  </si>
  <si>
    <t>Prompt metadata, file hash, DLP classification</t>
  </si>
  <si>
    <t>Avoid over-retaining sensitive prompt content.</t>
  </si>
  <si>
    <t>Contain</t>
  </si>
  <si>
    <t>4</t>
  </si>
  <si>
    <t>Block AI tool/app, revoke OAuth app, suspend API key, disable connector, or isolate endpoint if needed</t>
  </si>
  <si>
    <t>Policy change, revoke record</t>
  </si>
  <si>
    <t>Eradicate</t>
  </si>
  <si>
    <t>5</t>
  </si>
  <si>
    <t>Rotate leaked credentials, remove exposed documents from index, fix RAG ACLs, patch agent tool permissions</t>
  </si>
  <si>
    <t>AppSec / Platform</t>
  </si>
  <si>
    <t>Rotation ticket, PR, config diff</t>
  </si>
  <si>
    <t>Notify</t>
  </si>
  <si>
    <t>6</t>
  </si>
  <si>
    <t>Notify privacy/legal/compliance if personal data, customer data, or regulated data was involved</t>
  </si>
  <si>
    <t>IR Lead / Legal</t>
  </si>
  <si>
    <t>Notification decision log</t>
  </si>
  <si>
    <t>Recover</t>
  </si>
  <si>
    <t>7</t>
  </si>
  <si>
    <t>Restore safe AI access through approved path and verify guardrails/detections are working</t>
  </si>
  <si>
    <t>Platform / SOC</t>
  </si>
  <si>
    <t>Test evidence</t>
  </si>
  <si>
    <t>Lessons Learned</t>
  </si>
  <si>
    <t>8</t>
  </si>
  <si>
    <t>Update policies, guardrails, detections, user coaching, and vendor controls</t>
  </si>
  <si>
    <t>Post-incident report</t>
  </si>
  <si>
    <t>Framework / Source</t>
  </si>
  <si>
    <t>What it supports in this workbook</t>
  </si>
  <si>
    <t>URL</t>
  </si>
  <si>
    <t>NIST AI Risk Management Framework (AI RMF 1.0)</t>
  </si>
  <si>
    <t>Govern / Map / Measure / Manage structure for AI risk management</t>
  </si>
  <si>
    <t>NIST AI 600-1 Generative AI Profile</t>
  </si>
  <si>
    <t>Generative AI-specific risk actions, incident communications, content provenance, data leakage, security testing</t>
  </si>
  <si>
    <t>ISO/IEC 42001:2023</t>
  </si>
  <si>
    <t>AI management system governance, roles, policies, monitoring, continual improvement</t>
  </si>
  <si>
    <t>ISO/IEC 23894:2023</t>
  </si>
  <si>
    <t>AI-specific risk management process and integration with organizational risk management</t>
  </si>
  <si>
    <t>OWASP Top 10 for LLM Applications 2025</t>
  </si>
  <si>
    <t>Technical LLM application risks: prompt injection, sensitive information disclosure, excessive agency, supply chain</t>
  </si>
  <si>
    <t>MITRE ATLAS</t>
  </si>
  <si>
    <t>Adversarial AI tactics and techniques for detection and threat modelling</t>
  </si>
  <si>
    <t>EU AI Act</t>
  </si>
  <si>
    <t>Risk-based AI regulatory classification and high-risk system lifecycle controls</t>
  </si>
  <si>
    <t>Cloud Security Alliance AI Controls Matrix</t>
  </si>
  <si>
    <t>Cloud-based AI control categories and operational control mapping</t>
  </si>
  <si>
    <t>Tool Author</t>
  </si>
  <si>
    <t>Hamza Saleem</t>
  </si>
  <si>
    <t>Enterprise AI Security &amp; Governance Checklist by Hamza Saleem</t>
  </si>
  <si>
    <t>Reuse with attribution.</t>
  </si>
  <si>
    <t>1.1</t>
  </si>
  <si>
    <t>Branded introduction page added.</t>
  </si>
  <si>
    <t>Status Values</t>
  </si>
  <si>
    <t>Priority Values</t>
  </si>
  <si>
    <t>Risk Tier Values</t>
  </si>
  <si>
    <t>Guardrail Decision</t>
  </si>
  <si>
    <t>Secrets/Credentials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</si>
</sst>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20.0"/>
      <color rgb="FFFFFFFF"/>
      <name val="Carlito"/>
    </font>
    <font>
      <b/>
      <sz val="12.0"/>
      <color rgb="FFE2E8F0"/>
      <name val="Carlito"/>
    </font>
    <font>
      <b/>
      <sz val="12.0"/>
      <color rgb="FFFFFFFF"/>
      <name val="Carlito"/>
    </font>
    <font>
      <sz val="11.0"/>
      <color theme="1"/>
      <name val="Carlito"/>
    </font>
    <font>
      <b/>
      <sz val="11.0"/>
      <color rgb="FFFFFFFF"/>
      <name val="Carlito"/>
    </font>
    <font>
      <b/>
      <sz val="11.0"/>
      <color rgb="FF0F172A"/>
      <name val="Carlito"/>
    </font>
    <font>
      <b/>
      <sz val="16.0"/>
      <color rgb="FFFFFFFF"/>
      <name val="Carlito"/>
    </font>
    <font>
      <color theme="1"/>
      <name val="Carlito"/>
      <scheme val="minor"/>
    </font>
  </fonts>
  <fills count="9">
    <fill>
      <patternFill patternType="none"/>
    </fill>
    <fill>
      <patternFill patternType="lightGray"/>
    </fill>
    <fill>
      <patternFill patternType="solid">
        <fgColor rgb="FF0F172A"/>
        <bgColor rgb="FF0F172A"/>
      </patternFill>
    </fill>
    <fill>
      <patternFill patternType="solid">
        <fgColor rgb="FF1E293B"/>
        <bgColor rgb="FF1E293B"/>
      </patternFill>
    </fill>
    <fill>
      <patternFill patternType="solid">
        <fgColor rgb="FF0F766E"/>
        <bgColor rgb="FF0F766E"/>
      </patternFill>
    </fill>
    <fill>
      <patternFill patternType="solid">
        <fgColor rgb="FF334155"/>
        <bgColor rgb="FF334155"/>
      </patternFill>
    </fill>
    <fill>
      <patternFill patternType="solid">
        <fgColor rgb="FFE2E8F0"/>
        <bgColor rgb="FFE2E8F0"/>
      </patternFill>
    </fill>
    <fill>
      <patternFill patternType="solid">
        <fgColor rgb="FFDBEAFE"/>
        <bgColor rgb="FFDBEAFE"/>
      </patternFill>
    </fill>
    <fill>
      <patternFill patternType="solid">
        <fgColor rgb="FFF8FAFC"/>
        <bgColor rgb="FFF8FAF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vertical="center"/>
    </xf>
    <xf borderId="0" fillId="4" fontId="3" numFmtId="0" xfId="0" applyAlignment="1" applyFill="1" applyFont="1">
      <alignment horizontal="left" vertical="center"/>
    </xf>
    <xf borderId="0" fillId="0" fontId="4" numFmtId="0" xfId="0" applyAlignment="1" applyFont="1">
      <alignment shrinkToFit="0" vertical="top" wrapText="1"/>
    </xf>
    <xf borderId="0" fillId="0" fontId="4" numFmtId="0" xfId="0" applyAlignment="1" applyFont="1">
      <alignment readingOrder="0" shrinkToFit="0" vertical="top" wrapText="1"/>
    </xf>
    <xf borderId="0" fillId="5" fontId="5" numFmtId="0" xfId="0" applyAlignment="1" applyFill="1" applyFont="1">
      <alignment horizontal="center"/>
    </xf>
    <xf borderId="0" fillId="6" fontId="6" numFmtId="0" xfId="0" applyAlignment="1" applyFill="1" applyFont="1">
      <alignment shrinkToFit="0" wrapText="1"/>
    </xf>
    <xf borderId="0" fillId="0" fontId="4" numFmtId="0" xfId="0" applyAlignment="1" applyFont="1">
      <alignment shrinkToFit="0" wrapText="1"/>
    </xf>
    <xf borderId="0" fillId="0" fontId="4" numFmtId="0" xfId="0" applyAlignment="1" applyFont="1">
      <alignment readingOrder="0" shrinkToFit="0" wrapText="1"/>
    </xf>
    <xf borderId="0" fillId="2" fontId="7" numFmtId="0" xfId="0" applyAlignment="1" applyFont="1">
      <alignment horizontal="center"/>
    </xf>
    <xf borderId="1" fillId="2" fontId="5" numFmtId="0" xfId="0" applyAlignment="1" applyBorder="1" applyFont="1">
      <alignment horizontal="center" shrinkToFit="0" vertical="center" wrapText="1"/>
    </xf>
    <xf borderId="1" fillId="7" fontId="6" numFmtId="0" xfId="0" applyAlignment="1" applyBorder="1" applyFill="1" applyFont="1">
      <alignment horizontal="center" shrinkToFit="0" vertical="center" wrapText="1"/>
    </xf>
    <xf borderId="1" fillId="8" fontId="6" numFmtId="0" xfId="0" applyAlignment="1" applyBorder="1" applyFill="1" applyFont="1">
      <alignment horizontal="center"/>
    </xf>
    <xf borderId="1" fillId="2" fontId="5" numFmtId="0" xfId="0" applyAlignment="1" applyBorder="1" applyFont="1">
      <alignment horizontal="center" shrinkToFit="0" vertical="center" wrapText="1"/>
    </xf>
    <xf borderId="1" fillId="0" fontId="4" numFmtId="0" xfId="0" applyAlignment="1" applyBorder="1" applyFont="1">
      <alignment shrinkToFit="0" wrapText="1"/>
    </xf>
    <xf borderId="1" fillId="0" fontId="8" numFmtId="0" xfId="0" applyBorder="1" applyFont="1"/>
    <xf borderId="0" fillId="7" fontId="6" numFmtId="0" xfId="0" applyAlignment="1" applyFont="1">
      <alignment horizontal="center" shrinkToFit="0" vertical="center" wrapText="1"/>
    </xf>
    <xf borderId="0" fillId="2" fontId="5" numFmtId="0" xfId="0" applyAlignment="1" applyFont="1">
      <alignment horizontal="center" shrinkToFit="0" vertical="center" wrapText="1"/>
    </xf>
    <xf borderId="0" fillId="0" fontId="4" numFmtId="0" xfId="0" applyAlignment="1" applyFont="1">
      <alignment horizontal="center"/>
    </xf>
    <xf borderId="0" fillId="0" fontId="4" numFmtId="0" xfId="0" applyAlignment="1" applyFont="1">
      <alignment shrinkToFit="0" wrapText="1"/>
    </xf>
    <xf borderId="0" fillId="0" fontId="8" numFmtId="0" xfId="0" applyFont="1"/>
    <xf borderId="0" fillId="0" fontId="8" numFmtId="0" xfId="0" applyFont="1"/>
    <xf borderId="0" fillId="4" fontId="5" numFmtId="0" xfId="0" applyFont="1"/>
    <xf borderId="0" fillId="2" fontId="5" numFmtId="0" xfId="0" applyAlignment="1" applyFont="1">
      <alignment horizontal="center"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0">
    <tableStyle count="3" pivot="0" name="Dashboard-style">
      <tableStyleElement dxfId="1" type="headerRow"/>
      <tableStyleElement dxfId="2" type="firstRowStripe"/>
      <tableStyleElement dxfId="3" type="secondRowStripe"/>
    </tableStyle>
    <tableStyle count="3" pivot="0" name="Dashboard-style 2">
      <tableStyleElement dxfId="1" type="headerRow"/>
      <tableStyleElement dxfId="2" type="firstRowStripe"/>
      <tableStyleElement dxfId="3" type="secondRowStripe"/>
    </tableStyle>
    <tableStyle count="3" pivot="0" name="How to Use-style">
      <tableStyleElement dxfId="1" type="headerRow"/>
      <tableStyleElement dxfId="2" type="firstRowStripe"/>
      <tableStyleElement dxfId="3" type="secondRowStripe"/>
    </tableStyle>
    <tableStyle count="3" pivot="0" name="Control Checklist-style">
      <tableStyleElement dxfId="1" type="headerRow"/>
      <tableStyleElement dxfId="2" type="firstRowStripe"/>
      <tableStyleElement dxfId="3" type="secondRowStripe"/>
    </tableStyle>
    <tableStyle count="3" pivot="0" name="AI Asset Inventory-style">
      <tableStyleElement dxfId="1" type="headerRow"/>
      <tableStyleElement dxfId="2" type="firstRowStripe"/>
      <tableStyleElement dxfId="3" type="secondRowStripe"/>
    </tableStyle>
    <tableStyle count="3" pivot="0" name="Guardrails Matrix-style">
      <tableStyleElement dxfId="1" type="headerRow"/>
      <tableStyleElement dxfId="2" type="firstRowStripe"/>
      <tableStyleElement dxfId="3" type="secondRowStripe"/>
    </tableStyle>
    <tableStyle count="3" pivot="0" name="Detection Library-style">
      <tableStyleElement dxfId="1" type="headerRow"/>
      <tableStyleElement dxfId="2" type="firstRowStripe"/>
      <tableStyleElement dxfId="3" type="secondRowStripe"/>
    </tableStyle>
    <tableStyle count="3" pivot="0" name="Vendor Review-style">
      <tableStyleElement dxfId="1" type="headerRow"/>
      <tableStyleElement dxfId="2" type="firstRowStripe"/>
      <tableStyleElement dxfId="3" type="secondRowStripe"/>
    </tableStyle>
    <tableStyle count="3" pivot="0" name="Incident Playbook-style">
      <tableStyleElement dxfId="1" type="headerRow"/>
      <tableStyleElement dxfId="2" type="firstRowStripe"/>
      <tableStyleElement dxfId="3" type="secondRowStripe"/>
    </tableStyle>
    <tableStyle count="3" pivot="0" name="Reference Sourc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Control Status Counts</a:t>
            </a:r>
          </a:p>
        </c:rich>
      </c:tx>
      <c:overlay val="0"/>
    </c:title>
    <c:plotArea>
      <c:layout/>
      <c:barChart>
        <c:barDir val="col"/>
        <c:ser>
          <c:idx val="0"/>
          <c:order val="0"/>
          <c:tx>
            <c:v>Count</c:v>
          </c:tx>
          <c:spPr>
            <a:solidFill>
              <a:schemeClr val="accent1"/>
            </a:solidFill>
            <a:ln cmpd="sng">
              <a:noFill/>
            </a:ln>
          </c:spPr>
          <c:cat>
            <c:strRef>
              <c:f>Dashboard!$F$11:$F$17</c:f>
            </c:strRef>
          </c:cat>
          <c:val>
            <c:numRef>
              <c:f>Dashboard!$G$11:$G$17</c:f>
              <c:numCache/>
            </c:numRef>
          </c:val>
        </c:ser>
        <c:axId val="737476384"/>
        <c:axId val="599633344"/>
      </c:barChart>
      <c:catAx>
        <c:axId val="737476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599633344"/>
      </c:catAx>
      <c:valAx>
        <c:axId val="5996333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737476384"/>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5257800" cy="36004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0:D22" displayName="Table_1" name="Table_1" id="1">
  <tableColumns count="4">
    <tableColumn name="Domain" id="1"/>
    <tableColumn name="Control Count" id="2"/>
    <tableColumn name="Avg Score" id="3"/>
    <tableColumn name="Maturity Level" id="4"/>
  </tableColumns>
  <tableStyleInfo name="Dashboard-style" showColumnStripes="0" showFirstColumn="1" showLastColumn="1" showRowStripes="1"/>
</table>
</file>

<file path=xl/tables/table2.xml><?xml version="1.0" encoding="utf-8"?>
<table xmlns="http://schemas.openxmlformats.org/spreadsheetml/2006/main" ref="F10:G17" displayName="Table_2" name="Table_2" id="2">
  <tableColumns count="2">
    <tableColumn name="Status" id="1"/>
    <tableColumn name="Count" id="2"/>
  </tableColumns>
  <tableStyleInfo name="Dashboard-style 2" showColumnStripes="0" showFirstColumn="1" showLastColumn="1" showRowStripes="1"/>
</table>
</file>

<file path=xl/tables/table3.xml><?xml version="1.0" encoding="utf-8"?>
<table xmlns="http://schemas.openxmlformats.org/spreadsheetml/2006/main" ref="A8:B14" displayName="Table_3" name="Table_3" id="3">
  <tableColumns count="2">
    <tableColumn name="Score" id="1"/>
    <tableColumn name="Meaning" id="2"/>
  </tableColumns>
  <tableStyleInfo name="How to Use-style" showColumnStripes="0" showFirstColumn="1" showLastColumn="1" showRowStripes="1"/>
</table>
</file>

<file path=xl/tables/table4.xml><?xml version="1.0" encoding="utf-8"?>
<table xmlns="http://schemas.openxmlformats.org/spreadsheetml/2006/main" ref="A1:N69" displayName="Table_4" name="Table_4" id="4">
  <tableColumns count="14">
    <tableColumn name="Control ID" id="1"/>
    <tableColumn name="Domain" id="2"/>
    <tableColumn name="Control" id="3"/>
    <tableColumn name="Implementation Question" id="4"/>
    <tableColumn name="Risk Addressed" id="5"/>
    <tableColumn name="Framework Mapping" id="6"/>
    <tableColumn name="Evidence to Collect" id="7"/>
    <tableColumn name="Owner" id="8"/>
    <tableColumn name="Priority" id="9"/>
    <tableColumn name="Status" id="10"/>
    <tableColumn name="Score" id="11"/>
    <tableColumn name="Target Date" id="12"/>
    <tableColumn name="Notes" id="13"/>
    <tableColumn name="Source URL" id="14"/>
  </tableColumns>
  <tableStyleInfo name="Control Checklist-style" showColumnStripes="0" showFirstColumn="1" showLastColumn="1" showRowStripes="1"/>
</table>
</file>

<file path=xl/tables/table5.xml><?xml version="1.0" encoding="utf-8"?>
<table xmlns="http://schemas.openxmlformats.org/spreadsheetml/2006/main" ref="A1:R50" displayName="Table_5" name="Table_5" id="5">
  <tableColumns count="18">
    <tableColumn name="AI Asset ID" id="1"/>
    <tableColumn name="AI Use Case / Tool" id="2"/>
    <tableColumn name="Owner" id="3"/>
    <tableColumn name="Business Function" id="4"/>
    <tableColumn name="User Group" id="5"/>
    <tableColumn name="AI Type" id="6"/>
    <tableColumn name="Provider / Model" id="7"/>
    <tableColumn name="Internal or External" id="8"/>
    <tableColumn name="Data Classification" id="9"/>
    <tableColumn name="File Uploads?" id="10"/>
    <tableColumn name="RAG?" id="11"/>
    <tableColumn name="Agent / Tool Use?" id="12"/>
    <tableColumn name="Risk Tier" id="13"/>
    <tableColumn name="Current Controls" id="14"/>
    <tableColumn name="Key Gaps" id="15"/>
    <tableColumn name="Review Status" id="16"/>
    <tableColumn name="Next Review" id="17"/>
    <tableColumn name="Notes" id="18"/>
  </tableColumns>
  <tableStyleInfo name="AI Asset Inventory-style" showColumnStripes="0" showFirstColumn="1" showLastColumn="1" showRowStripes="1"/>
</table>
</file>

<file path=xl/tables/table6.xml><?xml version="1.0" encoding="utf-8"?>
<table xmlns="http://schemas.openxmlformats.org/spreadsheetml/2006/main" ref="A1:H9" displayName="Table_6" name="Table_6" id="6">
  <tableColumns count="8">
    <tableColumn name="Data / Use Case" id="1"/>
    <tableColumn name="Public" id="2"/>
    <tableColumn name="Internal" id="3"/>
    <tableColumn name="Confidential" id="4"/>
    <tableColumn name="Restricted" id="5"/>
    <tableColumn name="Secrets / Credentials" id="6"/>
    <tableColumn name="Recommended Control Pattern" id="7"/>
    <tableColumn name="Notes" id="8"/>
  </tableColumns>
  <tableStyleInfo name="Guardrails Matrix-style" showColumnStripes="0" showFirstColumn="1" showLastColumn="1" showRowStripes="1"/>
</table>
</file>

<file path=xl/tables/table7.xml><?xml version="1.0" encoding="utf-8"?>
<table xmlns="http://schemas.openxmlformats.org/spreadsheetml/2006/main" ref="A1:K50" displayName="Table_7" name="Table_7" id="7">
  <tableColumns count="11">
    <tableColumn name="Detection ID" id="1"/>
    <tableColumn name="Detection Use Case" id="2"/>
    <tableColumn name="Primary Log Sources" id="3"/>
    <tableColumn name="Logic / Signal" id="4"/>
    <tableColumn name="Severity" id="5"/>
    <tableColumn name="Response Action" id="6"/>
    <tableColumn name="Mapped Risk" id="7"/>
    <tableColumn name="Framework Mapping" id="8"/>
    <tableColumn name="Status" id="9"/>
    <tableColumn name="Owner" id="10"/>
    <tableColumn name="Notes" id="11"/>
  </tableColumns>
  <tableStyleInfo name="Detection Library-style" showColumnStripes="0" showFirstColumn="1" showLastColumn="1" showRowStripes="1"/>
</table>
</file>

<file path=xl/tables/table8.xml><?xml version="1.0" encoding="utf-8"?>
<table xmlns="http://schemas.openxmlformats.org/spreadsheetml/2006/main" ref="A1:H50" displayName="Table_8" name="Table_8" id="8">
  <tableColumns count="8">
    <tableColumn name="Question ID" id="1"/>
    <tableColumn name="Review Area" id="2"/>
    <tableColumn name="Question" id="3"/>
    <tableColumn name="Risk if Weak" id="4"/>
    <tableColumn name="Evidence / Expected Answer" id="5"/>
    <tableColumn name="Priority" id="6"/>
    <tableColumn name="Status" id="7"/>
    <tableColumn name="Notes" id="8"/>
  </tableColumns>
  <tableStyleInfo name="Vendor Review-style" showColumnStripes="0" showFirstColumn="1" showLastColumn="1" showRowStripes="1"/>
</table>
</file>

<file path=xl/tables/table9.xml><?xml version="1.0" encoding="utf-8"?>
<table xmlns="http://schemas.openxmlformats.org/spreadsheetml/2006/main" ref="A1:F9" displayName="Table_9" name="Table_9" id="9">
  <tableColumns count="6">
    <tableColumn name="Phase" id="1"/>
    <tableColumn name="Step" id="2"/>
    <tableColumn name="Action" id="3"/>
    <tableColumn name="Owner" id="4"/>
    <tableColumn name="Evidence / Logs" id="5"/>
    <tableColumn name="Notes" id="6"/>
  </tableColumns>
  <tableStyleInfo name="Incident Playbook-style" showColumnStripes="0" showFirstColumn="1" showLastColumn="1" showRowStripes="1"/>
</table>
</file>

<file path=xl/tables/table10.xml><?xml version="1.0" encoding="utf-8"?>
<table xmlns="http://schemas.openxmlformats.org/spreadsheetml/2006/main" ref="A1:C9" displayName="Table_10" name="Table_10" id="10">
  <tableColumns count="3">
    <tableColumn name="Framework / Source" id="1"/>
    <tableColumn name="What it supports in this workbook" id="2"/>
    <tableColumn name="URL" id="3"/>
  </tableColumns>
  <tableStyleInfo name="Reference Sour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70.0"/>
    <col customWidth="1" min="3" max="7" width="5.0"/>
    <col customWidth="1" min="8" max="26" width="8.63"/>
  </cols>
  <sheetData>
    <row r="1" ht="33.75" customHeight="1">
      <c r="A1" s="1" t="s">
        <v>0</v>
      </c>
    </row>
    <row r="2" ht="24.0" customHeight="1">
      <c r="A2" s="2" t="s">
        <v>1</v>
      </c>
    </row>
    <row r="4" ht="21.75" customHeight="1">
      <c r="A4" s="3" t="s">
        <v>2</v>
      </c>
    </row>
    <row r="5" ht="45.75" customHeight="1">
      <c r="A5" s="4" t="s">
        <v>3</v>
      </c>
    </row>
    <row r="7" ht="21.75" customHeight="1">
      <c r="A7" s="3" t="s">
        <v>4</v>
      </c>
    </row>
    <row r="8" ht="45.75" customHeight="1">
      <c r="A8" s="4" t="s">
        <v>5</v>
      </c>
    </row>
    <row r="10" ht="21.75" customHeight="1">
      <c r="A10" s="3" t="s">
        <v>6</v>
      </c>
    </row>
    <row r="11" ht="25.5" customHeight="1">
      <c r="A11" s="4" t="s">
        <v>7</v>
      </c>
    </row>
    <row r="12" ht="25.5" customHeight="1">
      <c r="A12" s="4" t="s">
        <v>8</v>
      </c>
    </row>
    <row r="13" ht="25.5" customHeight="1">
      <c r="A13" s="4" t="s">
        <v>9</v>
      </c>
    </row>
    <row r="14" ht="25.5" customHeight="1">
      <c r="A14" s="4" t="s">
        <v>10</v>
      </c>
    </row>
    <row r="16" ht="21.75" customHeight="1">
      <c r="A16" s="3" t="s">
        <v>11</v>
      </c>
    </row>
    <row r="17" ht="45.75" customHeight="1">
      <c r="A17" s="5" t="s">
        <v>12</v>
      </c>
    </row>
    <row r="19">
      <c r="A19" s="6" t="s">
        <v>13</v>
      </c>
      <c r="B19" s="6" t="s">
        <v>14</v>
      </c>
    </row>
    <row r="20">
      <c r="A20" s="7" t="s">
        <v>15</v>
      </c>
      <c r="B20" s="8" t="s">
        <v>16</v>
      </c>
    </row>
    <row r="21" ht="15.75" customHeight="1">
      <c r="A21" s="7" t="s">
        <v>17</v>
      </c>
      <c r="B21" s="8" t="s">
        <v>18</v>
      </c>
    </row>
    <row r="22" ht="15.75" customHeight="1">
      <c r="A22" s="7" t="s">
        <v>19</v>
      </c>
      <c r="B22" s="9">
        <v>1.0</v>
      </c>
    </row>
    <row r="23" ht="15.75" customHeight="1"/>
    <row r="24" ht="21.75" customHeight="1">
      <c r="A24" s="3" t="s">
        <v>20</v>
      </c>
    </row>
    <row r="25" ht="45.75" customHeight="1">
      <c r="A25" s="4" t="s">
        <v>21</v>
      </c>
    </row>
    <row r="26" ht="15.75" customHeight="1"/>
    <row r="27" ht="21.75" customHeight="1">
      <c r="A27" s="3" t="s">
        <v>22</v>
      </c>
    </row>
    <row r="28" ht="25.5" customHeight="1">
      <c r="A28" s="4" t="s">
        <v>23</v>
      </c>
    </row>
    <row r="29" ht="15.75" customHeight="1"/>
    <row r="30" ht="21.75" customHeight="1">
      <c r="A30" s="3" t="s">
        <v>24</v>
      </c>
    </row>
    <row r="31" ht="45.75" customHeight="1">
      <c r="A31" s="4" t="s">
        <v>25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9">
    <mergeCell ref="A1:G1"/>
    <mergeCell ref="A2:G2"/>
    <mergeCell ref="A4:G4"/>
    <mergeCell ref="A5:G5"/>
    <mergeCell ref="A7:G7"/>
    <mergeCell ref="A8:G8"/>
    <mergeCell ref="A10:G10"/>
    <mergeCell ref="A25:G25"/>
    <mergeCell ref="A27:G27"/>
    <mergeCell ref="A28:G28"/>
    <mergeCell ref="A30:G30"/>
    <mergeCell ref="A31:G31"/>
    <mergeCell ref="A11:G11"/>
    <mergeCell ref="A12:G12"/>
    <mergeCell ref="A13:G13"/>
    <mergeCell ref="A14:G14"/>
    <mergeCell ref="A16:G16"/>
    <mergeCell ref="A17:G17"/>
    <mergeCell ref="A24:G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20.0"/>
    <col customWidth="1" min="3" max="5" width="8.63"/>
    <col customWidth="1" min="6" max="6" width="26.0"/>
    <col customWidth="1" min="7" max="7" width="14.0"/>
    <col customWidth="1" min="8" max="26" width="8.63"/>
  </cols>
  <sheetData>
    <row r="1">
      <c r="A1" s="10" t="s">
        <v>26</v>
      </c>
    </row>
    <row r="3">
      <c r="A3" s="11" t="s">
        <v>27</v>
      </c>
      <c r="B3" s="11" t="s">
        <v>28</v>
      </c>
    </row>
    <row r="4">
      <c r="A4" s="12" t="s">
        <v>29</v>
      </c>
      <c r="B4" s="13">
        <f>COUNTA('Control Checklist'!$A$2:$A$69)</f>
        <v>68</v>
      </c>
    </row>
    <row r="5">
      <c r="A5" s="12" t="s">
        <v>30</v>
      </c>
      <c r="B5" s="13">
        <f>IFERROR(AVERAGEIF('Control Checklist'!$K$2:$K$69,"&gt;=0",'Control Checklist'!$K$2:$K$69),0)</f>
        <v>0</v>
      </c>
    </row>
    <row r="6">
      <c r="A6" s="12" t="s">
        <v>31</v>
      </c>
      <c r="B6" s="13">
        <f>COUNTIFS('Control Checklist'!$I$2:$I$69,"Critical",'Control Checklist'!$K$2:$K$69,"&gt;=4")</f>
        <v>0</v>
      </c>
    </row>
    <row r="7">
      <c r="A7" s="12" t="s">
        <v>32</v>
      </c>
      <c r="B7" s="13">
        <f>COUNTIF('Control Checklist'!$J$2:$J$69,"Not Started")</f>
        <v>68</v>
      </c>
    </row>
    <row r="10">
      <c r="A10" s="14" t="s">
        <v>33</v>
      </c>
      <c r="B10" s="14" t="s">
        <v>34</v>
      </c>
      <c r="C10" s="14" t="s">
        <v>35</v>
      </c>
      <c r="D10" s="14" t="s">
        <v>36</v>
      </c>
      <c r="F10" s="14" t="s">
        <v>37</v>
      </c>
      <c r="G10" s="14" t="s">
        <v>38</v>
      </c>
    </row>
    <row r="11">
      <c r="A11" s="15" t="s">
        <v>39</v>
      </c>
      <c r="B11" s="15">
        <f>COUNTIF('Control Checklist'!$B$2:$B$69,A11)</f>
        <v>6</v>
      </c>
      <c r="C11" s="15">
        <f>IFERROR(AVERAGEIFS('Control Checklist'!$K$2:$K$69,'Control Checklist'!$B$2:$B$69,A11),0)</f>
        <v>0</v>
      </c>
      <c r="D11" s="15" t="str">
        <f t="shared" ref="D11:D22" si="1">IF(C11&gt;=4,"Strong",IF(C11&gt;=3,"Good",IF(C11&gt;=2,"Developing",IF(C11&gt;=1,"Early","Not Started"))))</f>
        <v>Not Started</v>
      </c>
      <c r="F11" s="16" t="s">
        <v>40</v>
      </c>
      <c r="G11" s="16">
        <f>COUNTIF('Control Checklist'!$J$2:$J$69,F11)</f>
        <v>68</v>
      </c>
    </row>
    <row r="12">
      <c r="A12" s="15" t="s">
        <v>41</v>
      </c>
      <c r="B12" s="15">
        <f>COUNTIF('Control Checklist'!$B$2:$B$69,A12)</f>
        <v>6</v>
      </c>
      <c r="C12" s="15">
        <f>IFERROR(AVERAGEIFS('Control Checklist'!$K$2:$K$69,'Control Checklist'!$B$2:$B$69,A12),0)</f>
        <v>0</v>
      </c>
      <c r="D12" s="15" t="str">
        <f t="shared" si="1"/>
        <v>Not Started</v>
      </c>
      <c r="F12" s="16" t="s">
        <v>42</v>
      </c>
      <c r="G12" s="16">
        <f>COUNTIF('Control Checklist'!$J$2:$J$69,F12)</f>
        <v>0</v>
      </c>
    </row>
    <row r="13">
      <c r="A13" s="15" t="s">
        <v>43</v>
      </c>
      <c r="B13" s="15">
        <f>COUNTIF('Control Checklist'!$B$2:$B$69,A13)</f>
        <v>6</v>
      </c>
      <c r="C13" s="15">
        <f>IFERROR(AVERAGEIFS('Control Checklist'!$K$2:$K$69,'Control Checklist'!$B$2:$B$69,A13),0)</f>
        <v>0</v>
      </c>
      <c r="D13" s="15" t="str">
        <f t="shared" si="1"/>
        <v>Not Started</v>
      </c>
      <c r="F13" s="16" t="s">
        <v>44</v>
      </c>
      <c r="G13" s="16">
        <f>COUNTIF('Control Checklist'!$J$2:$J$69,F13)</f>
        <v>0</v>
      </c>
    </row>
    <row r="14">
      <c r="A14" s="15" t="s">
        <v>45</v>
      </c>
      <c r="B14" s="15">
        <f>COUNTIF('Control Checklist'!$B$2:$B$69,A14)</f>
        <v>6</v>
      </c>
      <c r="C14" s="15">
        <f>IFERROR(AVERAGEIFS('Control Checklist'!$K$2:$K$69,'Control Checklist'!$B$2:$B$69,A14),0)</f>
        <v>0</v>
      </c>
      <c r="D14" s="15" t="str">
        <f t="shared" si="1"/>
        <v>Not Started</v>
      </c>
      <c r="F14" s="16" t="s">
        <v>46</v>
      </c>
      <c r="G14" s="16">
        <f>COUNTIF('Control Checklist'!$J$2:$J$69,F14)</f>
        <v>0</v>
      </c>
    </row>
    <row r="15">
      <c r="A15" s="15" t="s">
        <v>47</v>
      </c>
      <c r="B15" s="15">
        <f>COUNTIF('Control Checklist'!$B$2:$B$69,A15)</f>
        <v>6</v>
      </c>
      <c r="C15" s="15">
        <f>IFERROR(AVERAGEIFS('Control Checklist'!$K$2:$K$69,'Control Checklist'!$B$2:$B$69,A15),0)</f>
        <v>0</v>
      </c>
      <c r="D15" s="15" t="str">
        <f t="shared" si="1"/>
        <v>Not Started</v>
      </c>
      <c r="F15" s="16" t="s">
        <v>48</v>
      </c>
      <c r="G15" s="16">
        <f>COUNTIF('Control Checklist'!$J$2:$J$69,F15)</f>
        <v>0</v>
      </c>
    </row>
    <row r="16">
      <c r="A16" s="15" t="s">
        <v>49</v>
      </c>
      <c r="B16" s="15">
        <f>COUNTIF('Control Checklist'!$B$2:$B$69,A16)</f>
        <v>7</v>
      </c>
      <c r="C16" s="15">
        <f>IFERROR(AVERAGEIFS('Control Checklist'!$K$2:$K$69,'Control Checklist'!$B$2:$B$69,A16),0)</f>
        <v>0</v>
      </c>
      <c r="D16" s="15" t="str">
        <f t="shared" si="1"/>
        <v>Not Started</v>
      </c>
      <c r="F16" s="16" t="s">
        <v>50</v>
      </c>
      <c r="G16" s="16">
        <f>COUNTIF('Control Checklist'!$J$2:$J$69,F16)</f>
        <v>0</v>
      </c>
    </row>
    <row r="17">
      <c r="A17" s="15" t="s">
        <v>51</v>
      </c>
      <c r="B17" s="15">
        <f>COUNTIF('Control Checklist'!$B$2:$B$69,A17)</f>
        <v>4</v>
      </c>
      <c r="C17" s="15">
        <f>IFERROR(AVERAGEIFS('Control Checklist'!$K$2:$K$69,'Control Checklist'!$B$2:$B$69,A17),0)</f>
        <v>0</v>
      </c>
      <c r="D17" s="15" t="str">
        <f t="shared" si="1"/>
        <v>Not Started</v>
      </c>
      <c r="F17" s="16" t="s">
        <v>52</v>
      </c>
      <c r="G17" s="16">
        <f>COUNTIF('Control Checklist'!$J$2:$J$69,F17)</f>
        <v>0</v>
      </c>
    </row>
    <row r="18">
      <c r="A18" s="15" t="s">
        <v>53</v>
      </c>
      <c r="B18" s="15">
        <f>COUNTIF('Control Checklist'!$B$2:$B$69,A18)</f>
        <v>7</v>
      </c>
      <c r="C18" s="15">
        <f>IFERROR(AVERAGEIFS('Control Checklist'!$K$2:$K$69,'Control Checklist'!$B$2:$B$69,A18),0)</f>
        <v>0</v>
      </c>
      <c r="D18" s="15" t="str">
        <f t="shared" si="1"/>
        <v>Not Started</v>
      </c>
    </row>
    <row r="19">
      <c r="A19" s="15" t="s">
        <v>54</v>
      </c>
      <c r="B19" s="15">
        <f>COUNTIF('Control Checklist'!$B$2:$B$69,A19)</f>
        <v>5</v>
      </c>
      <c r="C19" s="15">
        <f>IFERROR(AVERAGEIFS('Control Checklist'!$K$2:$K$69,'Control Checklist'!$B$2:$B$69,A19),0)</f>
        <v>0</v>
      </c>
      <c r="D19" s="15" t="str">
        <f t="shared" si="1"/>
        <v>Not Started</v>
      </c>
    </row>
    <row r="20" ht="15.75" customHeight="1">
      <c r="A20" s="15" t="s">
        <v>55</v>
      </c>
      <c r="B20" s="15">
        <f>COUNTIF('Control Checklist'!$B$2:$B$69,A20)</f>
        <v>6</v>
      </c>
      <c r="C20" s="15">
        <f>IFERROR(AVERAGEIFS('Control Checklist'!$K$2:$K$69,'Control Checklist'!$B$2:$B$69,A20),0)</f>
        <v>0</v>
      </c>
      <c r="D20" s="15" t="str">
        <f t="shared" si="1"/>
        <v>Not Started</v>
      </c>
    </row>
    <row r="21" ht="15.75" customHeight="1">
      <c r="A21" s="15" t="s">
        <v>56</v>
      </c>
      <c r="B21" s="15">
        <f>COUNTIF('Control Checklist'!$B$2:$B$69,A21)</f>
        <v>4</v>
      </c>
      <c r="C21" s="15">
        <f>IFERROR(AVERAGEIFS('Control Checklist'!$K$2:$K$69,'Control Checklist'!$B$2:$B$69,A21),0)</f>
        <v>0</v>
      </c>
      <c r="D21" s="15" t="str">
        <f t="shared" si="1"/>
        <v>Not Started</v>
      </c>
    </row>
    <row r="22" ht="15.75" customHeight="1">
      <c r="A22" s="15" t="s">
        <v>57</v>
      </c>
      <c r="B22" s="15">
        <f>COUNTIF('Control Checklist'!$B$2:$B$69,A22)</f>
        <v>5</v>
      </c>
      <c r="C22" s="15">
        <f>IFERROR(AVERAGEIFS('Control Checklist'!$K$2:$K$69,'Control Checklist'!$B$2:$B$69,A22),0)</f>
        <v>0</v>
      </c>
      <c r="D22" s="15" t="str">
        <f t="shared" si="1"/>
        <v>Not Started</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H1"/>
  </mergeCells>
  <conditionalFormatting sqref="C11:C22">
    <cfRule type="colorScale" priority="1">
      <colorScale>
        <cfvo type="min"/>
        <cfvo type="percentile" val="50"/>
        <cfvo type="max"/>
        <color rgb="FFFEE2E2"/>
        <color rgb="FFFEF3C7"/>
        <color rgb="FFDCFCE7"/>
      </colorScale>
    </cfRule>
  </conditionalFormatting>
  <printOptions/>
  <pageMargins bottom="0.75" footer="0.0" header="0.0" left="0.7" right="0.7" top="0.75"/>
  <pageSetup orientation="landscape"/>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10.0"/>
    <col customWidth="1" min="3" max="26" width="8.63"/>
  </cols>
  <sheetData>
    <row r="1">
      <c r="A1" s="10" t="s">
        <v>58</v>
      </c>
    </row>
    <row r="2">
      <c r="A2" s="17" t="s">
        <v>2</v>
      </c>
      <c r="B2" s="8" t="s">
        <v>59</v>
      </c>
    </row>
    <row r="3">
      <c r="A3" s="17" t="s">
        <v>60</v>
      </c>
      <c r="B3" s="8" t="s">
        <v>61</v>
      </c>
    </row>
    <row r="4">
      <c r="A4" s="17" t="s">
        <v>62</v>
      </c>
      <c r="B4" s="8" t="s">
        <v>63</v>
      </c>
    </row>
    <row r="5">
      <c r="A5" s="17" t="s">
        <v>64</v>
      </c>
      <c r="B5" s="8" t="s">
        <v>65</v>
      </c>
    </row>
    <row r="6">
      <c r="A6" s="17" t="s">
        <v>66</v>
      </c>
      <c r="B6" s="8" t="s">
        <v>67</v>
      </c>
    </row>
    <row r="8">
      <c r="A8" s="18" t="s">
        <v>68</v>
      </c>
      <c r="B8" s="18" t="s">
        <v>69</v>
      </c>
    </row>
    <row r="9">
      <c r="A9" s="19">
        <v>0.0</v>
      </c>
      <c r="B9" s="20" t="s">
        <v>70</v>
      </c>
    </row>
    <row r="10">
      <c r="A10" s="19">
        <v>1.0</v>
      </c>
      <c r="B10" s="20" t="s">
        <v>71</v>
      </c>
    </row>
    <row r="11">
      <c r="A11" s="19">
        <v>2.0</v>
      </c>
      <c r="B11" s="20" t="s">
        <v>72</v>
      </c>
    </row>
    <row r="12">
      <c r="A12" s="19">
        <v>3.0</v>
      </c>
      <c r="B12" s="20" t="s">
        <v>46</v>
      </c>
    </row>
    <row r="13">
      <c r="A13" s="19">
        <v>4.0</v>
      </c>
      <c r="B13" s="20" t="s">
        <v>73</v>
      </c>
    </row>
    <row r="14">
      <c r="A14" s="19">
        <v>5.0</v>
      </c>
      <c r="B14" s="20" t="s">
        <v>74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B1"/>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8.0"/>
    <col customWidth="1" min="3" max="3" width="30.0"/>
    <col customWidth="1" min="4" max="4" width="55.0"/>
    <col customWidth="1" min="5" max="5" width="34.0"/>
    <col customWidth="1" min="6" max="6" width="32.0"/>
    <col customWidth="1" min="7" max="7" width="38.0"/>
    <col customWidth="1" min="8" max="8" width="20.0"/>
    <col customWidth="1" min="9" max="9" width="12.0"/>
    <col customWidth="1" min="10" max="10" width="22.0"/>
    <col customWidth="1" min="11" max="11" width="9.0"/>
    <col customWidth="1" min="12" max="12" width="15.0"/>
    <col customWidth="1" min="13" max="13" width="30.0"/>
    <col customWidth="1" min="14" max="14" width="60.0"/>
    <col customWidth="1" min="15" max="26" width="8.63"/>
  </cols>
  <sheetData>
    <row r="1" ht="31.5" customHeight="1">
      <c r="A1" s="18" t="s">
        <v>75</v>
      </c>
      <c r="B1" s="18" t="s">
        <v>33</v>
      </c>
      <c r="C1" s="18" t="s">
        <v>76</v>
      </c>
      <c r="D1" s="18" t="s">
        <v>77</v>
      </c>
      <c r="E1" s="18" t="s">
        <v>78</v>
      </c>
      <c r="F1" s="18" t="s">
        <v>79</v>
      </c>
      <c r="G1" s="18" t="s">
        <v>80</v>
      </c>
      <c r="H1" s="18" t="s">
        <v>81</v>
      </c>
      <c r="I1" s="18" t="s">
        <v>82</v>
      </c>
      <c r="J1" s="18" t="s">
        <v>37</v>
      </c>
      <c r="K1" s="18" t="s">
        <v>68</v>
      </c>
      <c r="L1" s="18" t="s">
        <v>83</v>
      </c>
      <c r="M1" s="18" t="s">
        <v>84</v>
      </c>
      <c r="N1" s="18" t="s">
        <v>85</v>
      </c>
    </row>
    <row r="2">
      <c r="A2" s="20" t="s">
        <v>86</v>
      </c>
      <c r="B2" s="20" t="s">
        <v>47</v>
      </c>
      <c r="C2" s="20" t="s">
        <v>87</v>
      </c>
      <c r="D2" s="20" t="s">
        <v>88</v>
      </c>
      <c r="E2" s="20" t="s">
        <v>89</v>
      </c>
      <c r="F2" s="20" t="s">
        <v>90</v>
      </c>
      <c r="G2" s="20" t="s">
        <v>91</v>
      </c>
      <c r="H2" s="20" t="s">
        <v>92</v>
      </c>
      <c r="I2" s="20" t="s">
        <v>93</v>
      </c>
      <c r="J2" s="20" t="s">
        <v>40</v>
      </c>
      <c r="K2" s="20">
        <f t="shared" ref="K2:K69" si="1">IF(J2="N/A","",IF(J2="Not Started",0,IF(J2="Planned",1,IF(J2="Partial",2,IF(J2="Implemented",3,IF(J2="Implemented &amp; Tested",4,IF(J2="Automated &amp; Monitored",5,"")))))))</f>
        <v>0</v>
      </c>
      <c r="L2" s="20"/>
      <c r="M2" s="20"/>
      <c r="N2" s="20" t="s">
        <v>94</v>
      </c>
    </row>
    <row r="3">
      <c r="A3" s="20" t="s">
        <v>95</v>
      </c>
      <c r="B3" s="20" t="s">
        <v>47</v>
      </c>
      <c r="C3" s="20" t="s">
        <v>96</v>
      </c>
      <c r="D3" s="20" t="s">
        <v>97</v>
      </c>
      <c r="E3" s="20" t="s">
        <v>98</v>
      </c>
      <c r="F3" s="20" t="s">
        <v>99</v>
      </c>
      <c r="G3" s="20" t="s">
        <v>100</v>
      </c>
      <c r="H3" s="20" t="s">
        <v>101</v>
      </c>
      <c r="I3" s="20" t="s">
        <v>93</v>
      </c>
      <c r="J3" s="20" t="s">
        <v>40</v>
      </c>
      <c r="K3" s="20">
        <f t="shared" si="1"/>
        <v>0</v>
      </c>
      <c r="L3" s="20"/>
      <c r="M3" s="20"/>
      <c r="N3" s="20" t="s">
        <v>102</v>
      </c>
    </row>
    <row r="4">
      <c r="A4" s="20" t="s">
        <v>103</v>
      </c>
      <c r="B4" s="20" t="s">
        <v>47</v>
      </c>
      <c r="C4" s="20" t="s">
        <v>104</v>
      </c>
      <c r="D4" s="20" t="s">
        <v>105</v>
      </c>
      <c r="E4" s="20" t="s">
        <v>106</v>
      </c>
      <c r="F4" s="20" t="s">
        <v>107</v>
      </c>
      <c r="G4" s="20" t="s">
        <v>108</v>
      </c>
      <c r="H4" s="20" t="s">
        <v>109</v>
      </c>
      <c r="I4" s="20" t="s">
        <v>110</v>
      </c>
      <c r="J4" s="20" t="s">
        <v>40</v>
      </c>
      <c r="K4" s="20">
        <f t="shared" si="1"/>
        <v>0</v>
      </c>
      <c r="L4" s="20"/>
      <c r="M4" s="20"/>
      <c r="N4" s="20" t="s">
        <v>111</v>
      </c>
    </row>
    <row r="5">
      <c r="A5" s="20" t="s">
        <v>112</v>
      </c>
      <c r="B5" s="20" t="s">
        <v>47</v>
      </c>
      <c r="C5" s="20" t="s">
        <v>113</v>
      </c>
      <c r="D5" s="20" t="s">
        <v>114</v>
      </c>
      <c r="E5" s="20" t="s">
        <v>115</v>
      </c>
      <c r="F5" s="20" t="s">
        <v>116</v>
      </c>
      <c r="G5" s="20" t="s">
        <v>117</v>
      </c>
      <c r="H5" s="20" t="s">
        <v>118</v>
      </c>
      <c r="I5" s="20" t="s">
        <v>110</v>
      </c>
      <c r="J5" s="20" t="s">
        <v>40</v>
      </c>
      <c r="K5" s="20">
        <f t="shared" si="1"/>
        <v>0</v>
      </c>
      <c r="L5" s="20"/>
      <c r="M5" s="20"/>
      <c r="N5" s="20" t="s">
        <v>119</v>
      </c>
    </row>
    <row r="6">
      <c r="A6" s="20" t="s">
        <v>120</v>
      </c>
      <c r="B6" s="20" t="s">
        <v>47</v>
      </c>
      <c r="C6" s="20" t="s">
        <v>121</v>
      </c>
      <c r="D6" s="20" t="s">
        <v>122</v>
      </c>
      <c r="E6" s="20" t="s">
        <v>123</v>
      </c>
      <c r="F6" s="20" t="s">
        <v>124</v>
      </c>
      <c r="G6" s="20" t="s">
        <v>125</v>
      </c>
      <c r="H6" s="20" t="s">
        <v>126</v>
      </c>
      <c r="I6" s="20" t="s">
        <v>127</v>
      </c>
      <c r="J6" s="20" t="s">
        <v>40</v>
      </c>
      <c r="K6" s="20">
        <f t="shared" si="1"/>
        <v>0</v>
      </c>
      <c r="L6" s="20"/>
      <c r="M6" s="20"/>
      <c r="N6" s="20" t="s">
        <v>94</v>
      </c>
    </row>
    <row r="7">
      <c r="A7" s="20" t="s">
        <v>128</v>
      </c>
      <c r="B7" s="20" t="s">
        <v>47</v>
      </c>
      <c r="C7" s="20" t="s">
        <v>129</v>
      </c>
      <c r="D7" s="20" t="s">
        <v>130</v>
      </c>
      <c r="E7" s="20" t="s">
        <v>131</v>
      </c>
      <c r="F7" s="20" t="s">
        <v>132</v>
      </c>
      <c r="G7" s="20" t="s">
        <v>133</v>
      </c>
      <c r="H7" s="20" t="s">
        <v>134</v>
      </c>
      <c r="I7" s="20" t="s">
        <v>127</v>
      </c>
      <c r="J7" s="20" t="s">
        <v>40</v>
      </c>
      <c r="K7" s="20">
        <f t="shared" si="1"/>
        <v>0</v>
      </c>
      <c r="L7" s="20"/>
      <c r="M7" s="20"/>
      <c r="N7" s="20" t="s">
        <v>102</v>
      </c>
    </row>
    <row r="8">
      <c r="A8" s="20" t="s">
        <v>135</v>
      </c>
      <c r="B8" s="20" t="s">
        <v>39</v>
      </c>
      <c r="C8" s="20" t="s">
        <v>136</v>
      </c>
      <c r="D8" s="20" t="s">
        <v>137</v>
      </c>
      <c r="E8" s="20" t="s">
        <v>138</v>
      </c>
      <c r="F8" s="20" t="s">
        <v>139</v>
      </c>
      <c r="G8" s="20" t="s">
        <v>140</v>
      </c>
      <c r="H8" s="20" t="s">
        <v>141</v>
      </c>
      <c r="I8" s="20" t="s">
        <v>93</v>
      </c>
      <c r="J8" s="20" t="s">
        <v>40</v>
      </c>
      <c r="K8" s="20">
        <f t="shared" si="1"/>
        <v>0</v>
      </c>
      <c r="L8" s="20"/>
      <c r="M8" s="20"/>
      <c r="N8" s="20" t="s">
        <v>94</v>
      </c>
    </row>
    <row r="9">
      <c r="A9" s="20" t="s">
        <v>142</v>
      </c>
      <c r="B9" s="20" t="s">
        <v>39</v>
      </c>
      <c r="C9" s="20" t="s">
        <v>143</v>
      </c>
      <c r="D9" s="20" t="s">
        <v>144</v>
      </c>
      <c r="E9" s="20" t="s">
        <v>145</v>
      </c>
      <c r="F9" s="20" t="s">
        <v>139</v>
      </c>
      <c r="G9" s="20" t="s">
        <v>146</v>
      </c>
      <c r="H9" s="20" t="s">
        <v>147</v>
      </c>
      <c r="I9" s="20" t="s">
        <v>93</v>
      </c>
      <c r="J9" s="20" t="s">
        <v>40</v>
      </c>
      <c r="K9" s="20">
        <f t="shared" si="1"/>
        <v>0</v>
      </c>
      <c r="L9" s="20"/>
      <c r="M9" s="20"/>
      <c r="N9" s="20" t="s">
        <v>111</v>
      </c>
    </row>
    <row r="10">
      <c r="A10" s="20" t="s">
        <v>148</v>
      </c>
      <c r="B10" s="20" t="s">
        <v>39</v>
      </c>
      <c r="C10" s="20" t="s">
        <v>149</v>
      </c>
      <c r="D10" s="20" t="s">
        <v>150</v>
      </c>
      <c r="E10" s="20" t="s">
        <v>151</v>
      </c>
      <c r="F10" s="20" t="s">
        <v>152</v>
      </c>
      <c r="G10" s="20" t="s">
        <v>153</v>
      </c>
      <c r="H10" s="20" t="s">
        <v>154</v>
      </c>
      <c r="I10" s="20" t="s">
        <v>110</v>
      </c>
      <c r="J10" s="20" t="s">
        <v>40</v>
      </c>
      <c r="K10" s="20">
        <f t="shared" si="1"/>
        <v>0</v>
      </c>
      <c r="L10" s="20"/>
      <c r="M10" s="20"/>
      <c r="N10" s="20" t="s">
        <v>155</v>
      </c>
    </row>
    <row r="11">
      <c r="A11" s="20" t="s">
        <v>156</v>
      </c>
      <c r="B11" s="20" t="s">
        <v>39</v>
      </c>
      <c r="C11" s="20" t="s">
        <v>157</v>
      </c>
      <c r="D11" s="20" t="s">
        <v>158</v>
      </c>
      <c r="E11" s="20" t="s">
        <v>159</v>
      </c>
      <c r="F11" s="20" t="s">
        <v>160</v>
      </c>
      <c r="G11" s="20" t="s">
        <v>161</v>
      </c>
      <c r="H11" s="20" t="s">
        <v>162</v>
      </c>
      <c r="I11" s="20" t="s">
        <v>93</v>
      </c>
      <c r="J11" s="20" t="s">
        <v>40</v>
      </c>
      <c r="K11" s="20">
        <f t="shared" si="1"/>
        <v>0</v>
      </c>
      <c r="L11" s="20"/>
      <c r="M11" s="20"/>
      <c r="N11" s="20" t="s">
        <v>119</v>
      </c>
    </row>
    <row r="12">
      <c r="A12" s="20" t="s">
        <v>163</v>
      </c>
      <c r="B12" s="20" t="s">
        <v>39</v>
      </c>
      <c r="C12" s="20" t="s">
        <v>164</v>
      </c>
      <c r="D12" s="20" t="s">
        <v>165</v>
      </c>
      <c r="E12" s="20" t="s">
        <v>166</v>
      </c>
      <c r="F12" s="20" t="s">
        <v>167</v>
      </c>
      <c r="G12" s="20" t="s">
        <v>168</v>
      </c>
      <c r="H12" s="20" t="s">
        <v>169</v>
      </c>
      <c r="I12" s="20" t="s">
        <v>110</v>
      </c>
      <c r="J12" s="20" t="s">
        <v>40</v>
      </c>
      <c r="K12" s="20">
        <f t="shared" si="1"/>
        <v>0</v>
      </c>
      <c r="L12" s="20"/>
      <c r="M12" s="20"/>
      <c r="N12" s="20" t="s">
        <v>170</v>
      </c>
    </row>
    <row r="13">
      <c r="A13" s="20" t="s">
        <v>171</v>
      </c>
      <c r="B13" s="20" t="s">
        <v>39</v>
      </c>
      <c r="C13" s="20" t="s">
        <v>172</v>
      </c>
      <c r="D13" s="20" t="s">
        <v>173</v>
      </c>
      <c r="E13" s="20" t="s">
        <v>174</v>
      </c>
      <c r="F13" s="20" t="s">
        <v>175</v>
      </c>
      <c r="G13" s="20" t="s">
        <v>176</v>
      </c>
      <c r="H13" s="20" t="s">
        <v>177</v>
      </c>
      <c r="I13" s="20" t="s">
        <v>127</v>
      </c>
      <c r="J13" s="20" t="s">
        <v>40</v>
      </c>
      <c r="K13" s="20">
        <f t="shared" si="1"/>
        <v>0</v>
      </c>
      <c r="L13" s="20"/>
      <c r="M13" s="20"/>
      <c r="N13" s="20" t="s">
        <v>102</v>
      </c>
    </row>
    <row r="14">
      <c r="A14" s="20" t="s">
        <v>178</v>
      </c>
      <c r="B14" s="20" t="s">
        <v>45</v>
      </c>
      <c r="C14" s="20" t="s">
        <v>179</v>
      </c>
      <c r="D14" s="20" t="s">
        <v>180</v>
      </c>
      <c r="E14" s="20" t="s">
        <v>181</v>
      </c>
      <c r="F14" s="20" t="s">
        <v>182</v>
      </c>
      <c r="G14" s="20" t="s">
        <v>183</v>
      </c>
      <c r="H14" s="20" t="s">
        <v>184</v>
      </c>
      <c r="I14" s="20" t="s">
        <v>93</v>
      </c>
      <c r="J14" s="20" t="s">
        <v>40</v>
      </c>
      <c r="K14" s="20">
        <f t="shared" si="1"/>
        <v>0</v>
      </c>
      <c r="L14" s="20"/>
      <c r="M14" s="20"/>
      <c r="N14" s="20" t="s">
        <v>94</v>
      </c>
    </row>
    <row r="15">
      <c r="A15" s="20" t="s">
        <v>185</v>
      </c>
      <c r="B15" s="20" t="s">
        <v>45</v>
      </c>
      <c r="C15" s="20" t="s">
        <v>186</v>
      </c>
      <c r="D15" s="20" t="s">
        <v>187</v>
      </c>
      <c r="E15" s="20" t="s">
        <v>188</v>
      </c>
      <c r="F15" s="20" t="s">
        <v>189</v>
      </c>
      <c r="G15" s="20" t="s">
        <v>190</v>
      </c>
      <c r="H15" s="20" t="s">
        <v>191</v>
      </c>
      <c r="I15" s="20" t="s">
        <v>93</v>
      </c>
      <c r="J15" s="20" t="s">
        <v>40</v>
      </c>
      <c r="K15" s="20">
        <f t="shared" si="1"/>
        <v>0</v>
      </c>
      <c r="L15" s="20"/>
      <c r="M15" s="20"/>
      <c r="N15" s="20" t="s">
        <v>155</v>
      </c>
    </row>
    <row r="16">
      <c r="A16" s="20" t="s">
        <v>192</v>
      </c>
      <c r="B16" s="20" t="s">
        <v>45</v>
      </c>
      <c r="C16" s="20" t="s">
        <v>193</v>
      </c>
      <c r="D16" s="20" t="s">
        <v>194</v>
      </c>
      <c r="E16" s="20" t="s">
        <v>195</v>
      </c>
      <c r="F16" s="20" t="s">
        <v>196</v>
      </c>
      <c r="G16" s="20" t="s">
        <v>197</v>
      </c>
      <c r="H16" s="20" t="s">
        <v>198</v>
      </c>
      <c r="I16" s="20" t="s">
        <v>93</v>
      </c>
      <c r="J16" s="20" t="s">
        <v>40</v>
      </c>
      <c r="K16" s="20">
        <f t="shared" si="1"/>
        <v>0</v>
      </c>
      <c r="L16" s="20"/>
      <c r="M16" s="20"/>
      <c r="N16" s="20" t="s">
        <v>199</v>
      </c>
    </row>
    <row r="17">
      <c r="A17" s="20" t="s">
        <v>200</v>
      </c>
      <c r="B17" s="20" t="s">
        <v>45</v>
      </c>
      <c r="C17" s="20" t="s">
        <v>201</v>
      </c>
      <c r="D17" s="20" t="s">
        <v>202</v>
      </c>
      <c r="E17" s="20" t="s">
        <v>203</v>
      </c>
      <c r="F17" s="20" t="s">
        <v>204</v>
      </c>
      <c r="G17" s="20" t="s">
        <v>205</v>
      </c>
      <c r="H17" s="20" t="s">
        <v>206</v>
      </c>
      <c r="I17" s="20" t="s">
        <v>110</v>
      </c>
      <c r="J17" s="20" t="s">
        <v>40</v>
      </c>
      <c r="K17" s="20">
        <f t="shared" si="1"/>
        <v>0</v>
      </c>
      <c r="L17" s="20"/>
      <c r="M17" s="20"/>
      <c r="N17" s="20" t="s">
        <v>155</v>
      </c>
    </row>
    <row r="18">
      <c r="A18" s="20" t="s">
        <v>207</v>
      </c>
      <c r="B18" s="20" t="s">
        <v>45</v>
      </c>
      <c r="C18" s="20" t="s">
        <v>208</v>
      </c>
      <c r="D18" s="20" t="s">
        <v>209</v>
      </c>
      <c r="E18" s="20" t="s">
        <v>210</v>
      </c>
      <c r="F18" s="20" t="s">
        <v>211</v>
      </c>
      <c r="G18" s="20" t="s">
        <v>212</v>
      </c>
      <c r="H18" s="20" t="s">
        <v>213</v>
      </c>
      <c r="I18" s="20" t="s">
        <v>110</v>
      </c>
      <c r="J18" s="20" t="s">
        <v>40</v>
      </c>
      <c r="K18" s="20">
        <f t="shared" si="1"/>
        <v>0</v>
      </c>
      <c r="L18" s="20"/>
      <c r="M18" s="20"/>
      <c r="N18" s="20" t="s">
        <v>102</v>
      </c>
    </row>
    <row r="19">
      <c r="A19" s="20" t="s">
        <v>214</v>
      </c>
      <c r="B19" s="20" t="s">
        <v>45</v>
      </c>
      <c r="C19" s="20" t="s">
        <v>215</v>
      </c>
      <c r="D19" s="20" t="s">
        <v>216</v>
      </c>
      <c r="E19" s="20" t="s">
        <v>217</v>
      </c>
      <c r="F19" s="20" t="s">
        <v>218</v>
      </c>
      <c r="G19" s="20" t="s">
        <v>219</v>
      </c>
      <c r="H19" s="20" t="s">
        <v>220</v>
      </c>
      <c r="I19" s="20" t="s">
        <v>93</v>
      </c>
      <c r="J19" s="20" t="s">
        <v>40</v>
      </c>
      <c r="K19" s="20">
        <f t="shared" si="1"/>
        <v>0</v>
      </c>
      <c r="L19" s="20"/>
      <c r="M19" s="20"/>
      <c r="N19" s="20" t="s">
        <v>155</v>
      </c>
    </row>
    <row r="20">
      <c r="A20" s="20" t="s">
        <v>221</v>
      </c>
      <c r="B20" s="20" t="s">
        <v>43</v>
      </c>
      <c r="C20" s="20" t="s">
        <v>222</v>
      </c>
      <c r="D20" s="20" t="s">
        <v>223</v>
      </c>
      <c r="E20" s="20" t="s">
        <v>224</v>
      </c>
      <c r="F20" s="20" t="s">
        <v>225</v>
      </c>
      <c r="G20" s="20" t="s">
        <v>226</v>
      </c>
      <c r="H20" s="20" t="s">
        <v>134</v>
      </c>
      <c r="I20" s="20" t="s">
        <v>110</v>
      </c>
      <c r="J20" s="20" t="s">
        <v>40</v>
      </c>
      <c r="K20" s="20">
        <f t="shared" si="1"/>
        <v>0</v>
      </c>
      <c r="L20" s="20"/>
      <c r="M20" s="20"/>
      <c r="N20" s="20" t="s">
        <v>102</v>
      </c>
    </row>
    <row r="21" ht="15.75" customHeight="1">
      <c r="A21" s="20" t="s">
        <v>227</v>
      </c>
      <c r="B21" s="20" t="s">
        <v>43</v>
      </c>
      <c r="C21" s="20" t="s">
        <v>228</v>
      </c>
      <c r="D21" s="20" t="s">
        <v>229</v>
      </c>
      <c r="E21" s="20" t="s">
        <v>230</v>
      </c>
      <c r="F21" s="20" t="s">
        <v>116</v>
      </c>
      <c r="G21" s="20" t="s">
        <v>231</v>
      </c>
      <c r="H21" s="20" t="s">
        <v>232</v>
      </c>
      <c r="I21" s="20" t="s">
        <v>93</v>
      </c>
      <c r="J21" s="20" t="s">
        <v>40</v>
      </c>
      <c r="K21" s="20">
        <f t="shared" si="1"/>
        <v>0</v>
      </c>
      <c r="L21" s="20"/>
      <c r="M21" s="20"/>
      <c r="N21" s="20" t="s">
        <v>119</v>
      </c>
    </row>
    <row r="22" ht="15.75" customHeight="1">
      <c r="A22" s="20" t="s">
        <v>233</v>
      </c>
      <c r="B22" s="20" t="s">
        <v>43</v>
      </c>
      <c r="C22" s="20" t="s">
        <v>234</v>
      </c>
      <c r="D22" s="20" t="s">
        <v>235</v>
      </c>
      <c r="E22" s="20" t="s">
        <v>236</v>
      </c>
      <c r="F22" s="20" t="s">
        <v>237</v>
      </c>
      <c r="G22" s="20" t="s">
        <v>238</v>
      </c>
      <c r="H22" s="20" t="s">
        <v>239</v>
      </c>
      <c r="I22" s="20" t="s">
        <v>110</v>
      </c>
      <c r="J22" s="20" t="s">
        <v>40</v>
      </c>
      <c r="K22" s="20">
        <f t="shared" si="1"/>
        <v>0</v>
      </c>
      <c r="L22" s="20"/>
      <c r="M22" s="20"/>
      <c r="N22" s="20" t="s">
        <v>94</v>
      </c>
    </row>
    <row r="23" ht="15.75" customHeight="1">
      <c r="A23" s="20" t="s">
        <v>240</v>
      </c>
      <c r="B23" s="20" t="s">
        <v>43</v>
      </c>
      <c r="C23" s="20" t="s">
        <v>241</v>
      </c>
      <c r="D23" s="20" t="s">
        <v>242</v>
      </c>
      <c r="E23" s="20" t="s">
        <v>243</v>
      </c>
      <c r="F23" s="20" t="s">
        <v>189</v>
      </c>
      <c r="G23" s="20" t="s">
        <v>244</v>
      </c>
      <c r="H23" s="20" t="s">
        <v>245</v>
      </c>
      <c r="I23" s="20" t="s">
        <v>93</v>
      </c>
      <c r="J23" s="20" t="s">
        <v>40</v>
      </c>
      <c r="K23" s="20">
        <f t="shared" si="1"/>
        <v>0</v>
      </c>
      <c r="L23" s="20"/>
      <c r="M23" s="20"/>
      <c r="N23" s="20" t="s">
        <v>119</v>
      </c>
    </row>
    <row r="24" ht="15.75" customHeight="1">
      <c r="A24" s="20" t="s">
        <v>246</v>
      </c>
      <c r="B24" s="20" t="s">
        <v>43</v>
      </c>
      <c r="C24" s="20" t="s">
        <v>247</v>
      </c>
      <c r="D24" s="20" t="s">
        <v>248</v>
      </c>
      <c r="E24" s="20" t="s">
        <v>249</v>
      </c>
      <c r="F24" s="20" t="s">
        <v>160</v>
      </c>
      <c r="G24" s="20" t="s">
        <v>250</v>
      </c>
      <c r="H24" s="20" t="s">
        <v>251</v>
      </c>
      <c r="I24" s="20" t="s">
        <v>110</v>
      </c>
      <c r="J24" s="20" t="s">
        <v>40</v>
      </c>
      <c r="K24" s="20">
        <f t="shared" si="1"/>
        <v>0</v>
      </c>
      <c r="L24" s="20"/>
      <c r="M24" s="20"/>
      <c r="N24" s="20" t="s">
        <v>119</v>
      </c>
    </row>
    <row r="25" ht="15.75" customHeight="1">
      <c r="A25" s="20" t="s">
        <v>252</v>
      </c>
      <c r="B25" s="20" t="s">
        <v>43</v>
      </c>
      <c r="C25" s="20" t="s">
        <v>253</v>
      </c>
      <c r="D25" s="20" t="s">
        <v>254</v>
      </c>
      <c r="E25" s="20" t="s">
        <v>255</v>
      </c>
      <c r="F25" s="20" t="s">
        <v>237</v>
      </c>
      <c r="G25" s="20" t="s">
        <v>256</v>
      </c>
      <c r="H25" s="20" t="s">
        <v>257</v>
      </c>
      <c r="I25" s="20" t="s">
        <v>110</v>
      </c>
      <c r="J25" s="20" t="s">
        <v>40</v>
      </c>
      <c r="K25" s="20">
        <f t="shared" si="1"/>
        <v>0</v>
      </c>
      <c r="L25" s="20"/>
      <c r="M25" s="20"/>
      <c r="N25" s="20" t="s">
        <v>119</v>
      </c>
    </row>
    <row r="26" ht="15.75" customHeight="1">
      <c r="A26" s="20" t="s">
        <v>258</v>
      </c>
      <c r="B26" s="20" t="s">
        <v>49</v>
      </c>
      <c r="C26" s="20" t="s">
        <v>259</v>
      </c>
      <c r="D26" s="20" t="s">
        <v>260</v>
      </c>
      <c r="E26" s="20" t="s">
        <v>261</v>
      </c>
      <c r="F26" s="20" t="s">
        <v>189</v>
      </c>
      <c r="G26" s="20" t="s">
        <v>262</v>
      </c>
      <c r="H26" s="20" t="s">
        <v>263</v>
      </c>
      <c r="I26" s="20" t="s">
        <v>93</v>
      </c>
      <c r="J26" s="20" t="s">
        <v>40</v>
      </c>
      <c r="K26" s="20">
        <f t="shared" si="1"/>
        <v>0</v>
      </c>
      <c r="L26" s="20"/>
      <c r="M26" s="20"/>
      <c r="N26" s="20" t="s">
        <v>155</v>
      </c>
    </row>
    <row r="27" ht="15.75" customHeight="1">
      <c r="A27" s="20" t="s">
        <v>264</v>
      </c>
      <c r="B27" s="20" t="s">
        <v>49</v>
      </c>
      <c r="C27" s="20" t="s">
        <v>265</v>
      </c>
      <c r="D27" s="20" t="s">
        <v>266</v>
      </c>
      <c r="E27" s="20" t="s">
        <v>267</v>
      </c>
      <c r="F27" s="20" t="s">
        <v>268</v>
      </c>
      <c r="G27" s="20" t="s">
        <v>269</v>
      </c>
      <c r="H27" s="20" t="s">
        <v>270</v>
      </c>
      <c r="I27" s="20" t="s">
        <v>110</v>
      </c>
      <c r="J27" s="20" t="s">
        <v>40</v>
      </c>
      <c r="K27" s="20">
        <f t="shared" si="1"/>
        <v>0</v>
      </c>
      <c r="L27" s="20"/>
      <c r="M27" s="20"/>
      <c r="N27" s="20" t="s">
        <v>94</v>
      </c>
    </row>
    <row r="28" ht="15.75" customHeight="1">
      <c r="A28" s="20" t="s">
        <v>271</v>
      </c>
      <c r="B28" s="20" t="s">
        <v>49</v>
      </c>
      <c r="C28" s="20" t="s">
        <v>272</v>
      </c>
      <c r="D28" s="20" t="s">
        <v>273</v>
      </c>
      <c r="E28" s="20" t="s">
        <v>274</v>
      </c>
      <c r="F28" s="20" t="s">
        <v>275</v>
      </c>
      <c r="G28" s="20" t="s">
        <v>276</v>
      </c>
      <c r="H28" s="20" t="s">
        <v>277</v>
      </c>
      <c r="I28" s="20" t="s">
        <v>110</v>
      </c>
      <c r="J28" s="20" t="s">
        <v>40</v>
      </c>
      <c r="K28" s="20">
        <f t="shared" si="1"/>
        <v>0</v>
      </c>
      <c r="L28" s="20"/>
      <c r="M28" s="20"/>
      <c r="N28" s="20" t="s">
        <v>199</v>
      </c>
    </row>
    <row r="29" ht="15.75" customHeight="1">
      <c r="A29" s="20" t="s">
        <v>278</v>
      </c>
      <c r="B29" s="20" t="s">
        <v>49</v>
      </c>
      <c r="C29" s="20" t="s">
        <v>279</v>
      </c>
      <c r="D29" s="20" t="s">
        <v>280</v>
      </c>
      <c r="E29" s="20" t="s">
        <v>281</v>
      </c>
      <c r="F29" s="20" t="s">
        <v>282</v>
      </c>
      <c r="G29" s="20" t="s">
        <v>283</v>
      </c>
      <c r="H29" s="20" t="s">
        <v>284</v>
      </c>
      <c r="I29" s="20" t="s">
        <v>110</v>
      </c>
      <c r="J29" s="20" t="s">
        <v>40</v>
      </c>
      <c r="K29" s="20">
        <f t="shared" si="1"/>
        <v>0</v>
      </c>
      <c r="L29" s="20"/>
      <c r="M29" s="20"/>
      <c r="N29" s="20" t="s">
        <v>199</v>
      </c>
    </row>
    <row r="30" ht="15.75" customHeight="1">
      <c r="A30" s="20" t="s">
        <v>285</v>
      </c>
      <c r="B30" s="20" t="s">
        <v>49</v>
      </c>
      <c r="C30" s="20" t="s">
        <v>286</v>
      </c>
      <c r="D30" s="20" t="s">
        <v>287</v>
      </c>
      <c r="E30" s="20" t="s">
        <v>288</v>
      </c>
      <c r="F30" s="20" t="s">
        <v>225</v>
      </c>
      <c r="G30" s="20" t="s">
        <v>289</v>
      </c>
      <c r="H30" s="20" t="s">
        <v>290</v>
      </c>
      <c r="I30" s="20" t="s">
        <v>110</v>
      </c>
      <c r="J30" s="20" t="s">
        <v>40</v>
      </c>
      <c r="K30" s="20">
        <f t="shared" si="1"/>
        <v>0</v>
      </c>
      <c r="L30" s="20"/>
      <c r="M30" s="20"/>
      <c r="N30" s="20" t="s">
        <v>102</v>
      </c>
    </row>
    <row r="31" ht="15.75" customHeight="1">
      <c r="A31" s="20" t="s">
        <v>291</v>
      </c>
      <c r="B31" s="20" t="s">
        <v>49</v>
      </c>
      <c r="C31" s="20" t="s">
        <v>292</v>
      </c>
      <c r="D31" s="20" t="s">
        <v>293</v>
      </c>
      <c r="E31" s="20" t="s">
        <v>294</v>
      </c>
      <c r="F31" s="20" t="s">
        <v>295</v>
      </c>
      <c r="G31" s="20" t="s">
        <v>296</v>
      </c>
      <c r="H31" s="20" t="s">
        <v>270</v>
      </c>
      <c r="I31" s="20" t="s">
        <v>127</v>
      </c>
      <c r="J31" s="20" t="s">
        <v>40</v>
      </c>
      <c r="K31" s="20">
        <f t="shared" si="1"/>
        <v>0</v>
      </c>
      <c r="L31" s="20"/>
      <c r="M31" s="20"/>
      <c r="N31" s="20" t="s">
        <v>199</v>
      </c>
    </row>
    <row r="32" ht="15.75" customHeight="1">
      <c r="A32" s="20" t="s">
        <v>297</v>
      </c>
      <c r="B32" s="20" t="s">
        <v>49</v>
      </c>
      <c r="C32" s="20" t="s">
        <v>298</v>
      </c>
      <c r="D32" s="20" t="s">
        <v>299</v>
      </c>
      <c r="E32" s="20" t="s">
        <v>300</v>
      </c>
      <c r="F32" s="20" t="s">
        <v>268</v>
      </c>
      <c r="G32" s="20" t="s">
        <v>301</v>
      </c>
      <c r="H32" s="20" t="s">
        <v>302</v>
      </c>
      <c r="I32" s="20" t="s">
        <v>127</v>
      </c>
      <c r="J32" s="20" t="s">
        <v>40</v>
      </c>
      <c r="K32" s="20">
        <f t="shared" si="1"/>
        <v>0</v>
      </c>
      <c r="L32" s="20"/>
      <c r="M32" s="20"/>
      <c r="N32" s="20" t="s">
        <v>94</v>
      </c>
    </row>
    <row r="33" ht="15.75" customHeight="1">
      <c r="A33" s="20" t="s">
        <v>303</v>
      </c>
      <c r="B33" s="20" t="s">
        <v>55</v>
      </c>
      <c r="C33" s="20" t="s">
        <v>304</v>
      </c>
      <c r="D33" s="20" t="s">
        <v>305</v>
      </c>
      <c r="E33" s="20" t="s">
        <v>306</v>
      </c>
      <c r="F33" s="20" t="s">
        <v>307</v>
      </c>
      <c r="G33" s="20" t="s">
        <v>308</v>
      </c>
      <c r="H33" s="20" t="s">
        <v>309</v>
      </c>
      <c r="I33" s="20" t="s">
        <v>93</v>
      </c>
      <c r="J33" s="20" t="s">
        <v>40</v>
      </c>
      <c r="K33" s="20">
        <f t="shared" si="1"/>
        <v>0</v>
      </c>
      <c r="L33" s="20"/>
      <c r="M33" s="20"/>
      <c r="N33" s="20" t="s">
        <v>199</v>
      </c>
    </row>
    <row r="34" ht="15.75" customHeight="1">
      <c r="A34" s="20" t="s">
        <v>310</v>
      </c>
      <c r="B34" s="20" t="s">
        <v>55</v>
      </c>
      <c r="C34" s="20" t="s">
        <v>311</v>
      </c>
      <c r="D34" s="20" t="s">
        <v>312</v>
      </c>
      <c r="E34" s="20" t="s">
        <v>313</v>
      </c>
      <c r="F34" s="20" t="s">
        <v>314</v>
      </c>
      <c r="G34" s="20" t="s">
        <v>315</v>
      </c>
      <c r="H34" s="20" t="s">
        <v>316</v>
      </c>
      <c r="I34" s="20" t="s">
        <v>110</v>
      </c>
      <c r="J34" s="20" t="s">
        <v>40</v>
      </c>
      <c r="K34" s="20">
        <f t="shared" si="1"/>
        <v>0</v>
      </c>
      <c r="L34" s="20"/>
      <c r="M34" s="20"/>
      <c r="N34" s="20" t="s">
        <v>102</v>
      </c>
    </row>
    <row r="35" ht="15.75" customHeight="1">
      <c r="A35" s="20" t="s">
        <v>317</v>
      </c>
      <c r="B35" s="20" t="s">
        <v>55</v>
      </c>
      <c r="C35" s="20" t="s">
        <v>318</v>
      </c>
      <c r="D35" s="20" t="s">
        <v>319</v>
      </c>
      <c r="E35" s="20" t="s">
        <v>320</v>
      </c>
      <c r="F35" s="20" t="s">
        <v>321</v>
      </c>
      <c r="G35" s="20" t="s">
        <v>322</v>
      </c>
      <c r="H35" s="20" t="s">
        <v>323</v>
      </c>
      <c r="I35" s="20" t="s">
        <v>93</v>
      </c>
      <c r="J35" s="20" t="s">
        <v>40</v>
      </c>
      <c r="K35" s="20">
        <f t="shared" si="1"/>
        <v>0</v>
      </c>
      <c r="L35" s="20"/>
      <c r="M35" s="20"/>
      <c r="N35" s="20" t="s">
        <v>199</v>
      </c>
    </row>
    <row r="36" ht="15.75" customHeight="1">
      <c r="A36" s="20" t="s">
        <v>324</v>
      </c>
      <c r="B36" s="20" t="s">
        <v>55</v>
      </c>
      <c r="C36" s="20" t="s">
        <v>325</v>
      </c>
      <c r="D36" s="20" t="s">
        <v>326</v>
      </c>
      <c r="E36" s="20" t="s">
        <v>327</v>
      </c>
      <c r="F36" s="20" t="s">
        <v>328</v>
      </c>
      <c r="G36" s="20" t="s">
        <v>329</v>
      </c>
      <c r="H36" s="20" t="s">
        <v>330</v>
      </c>
      <c r="I36" s="20" t="s">
        <v>127</v>
      </c>
      <c r="J36" s="20" t="s">
        <v>40</v>
      </c>
      <c r="K36" s="20">
        <f t="shared" si="1"/>
        <v>0</v>
      </c>
      <c r="L36" s="20"/>
      <c r="M36" s="20"/>
      <c r="N36" s="20" t="s">
        <v>155</v>
      </c>
    </row>
    <row r="37" ht="15.75" customHeight="1">
      <c r="A37" s="20" t="s">
        <v>331</v>
      </c>
      <c r="B37" s="20" t="s">
        <v>55</v>
      </c>
      <c r="C37" s="20" t="s">
        <v>332</v>
      </c>
      <c r="D37" s="20" t="s">
        <v>333</v>
      </c>
      <c r="E37" s="20" t="s">
        <v>334</v>
      </c>
      <c r="F37" s="20" t="s">
        <v>335</v>
      </c>
      <c r="G37" s="20" t="s">
        <v>336</v>
      </c>
      <c r="H37" s="20" t="s">
        <v>337</v>
      </c>
      <c r="I37" s="20" t="s">
        <v>110</v>
      </c>
      <c r="J37" s="20" t="s">
        <v>40</v>
      </c>
      <c r="K37" s="20">
        <f t="shared" si="1"/>
        <v>0</v>
      </c>
      <c r="L37" s="20"/>
      <c r="M37" s="20"/>
      <c r="N37" s="20" t="s">
        <v>338</v>
      </c>
    </row>
    <row r="38" ht="15.75" customHeight="1">
      <c r="A38" s="20" t="s">
        <v>339</v>
      </c>
      <c r="B38" s="20" t="s">
        <v>55</v>
      </c>
      <c r="C38" s="20" t="s">
        <v>340</v>
      </c>
      <c r="D38" s="20" t="s">
        <v>341</v>
      </c>
      <c r="E38" s="20" t="s">
        <v>342</v>
      </c>
      <c r="F38" s="20" t="s">
        <v>343</v>
      </c>
      <c r="G38" s="20" t="s">
        <v>344</v>
      </c>
      <c r="H38" s="20" t="s">
        <v>309</v>
      </c>
      <c r="I38" s="20" t="s">
        <v>93</v>
      </c>
      <c r="J38" s="20" t="s">
        <v>40</v>
      </c>
      <c r="K38" s="20">
        <f t="shared" si="1"/>
        <v>0</v>
      </c>
      <c r="L38" s="20"/>
      <c r="M38" s="20"/>
      <c r="N38" s="20" t="s">
        <v>199</v>
      </c>
    </row>
    <row r="39" ht="15.75" customHeight="1">
      <c r="A39" s="20" t="s">
        <v>345</v>
      </c>
      <c r="B39" s="20" t="s">
        <v>54</v>
      </c>
      <c r="C39" s="20" t="s">
        <v>346</v>
      </c>
      <c r="D39" s="20" t="s">
        <v>347</v>
      </c>
      <c r="E39" s="20" t="s">
        <v>348</v>
      </c>
      <c r="F39" s="20" t="s">
        <v>349</v>
      </c>
      <c r="G39" s="20" t="s">
        <v>350</v>
      </c>
      <c r="H39" s="20" t="s">
        <v>351</v>
      </c>
      <c r="I39" s="20" t="s">
        <v>93</v>
      </c>
      <c r="J39" s="20" t="s">
        <v>40</v>
      </c>
      <c r="K39" s="20">
        <f t="shared" si="1"/>
        <v>0</v>
      </c>
      <c r="L39" s="20"/>
      <c r="M39" s="20"/>
      <c r="N39" s="20" t="s">
        <v>199</v>
      </c>
    </row>
    <row r="40" ht="15.75" customHeight="1">
      <c r="A40" s="20" t="s">
        <v>352</v>
      </c>
      <c r="B40" s="20" t="s">
        <v>54</v>
      </c>
      <c r="C40" s="20" t="s">
        <v>353</v>
      </c>
      <c r="D40" s="20" t="s">
        <v>354</v>
      </c>
      <c r="E40" s="20" t="s">
        <v>355</v>
      </c>
      <c r="F40" s="20" t="s">
        <v>204</v>
      </c>
      <c r="G40" s="20" t="s">
        <v>356</v>
      </c>
      <c r="H40" s="20" t="s">
        <v>357</v>
      </c>
      <c r="I40" s="20" t="s">
        <v>110</v>
      </c>
      <c r="J40" s="20" t="s">
        <v>40</v>
      </c>
      <c r="K40" s="20">
        <f t="shared" si="1"/>
        <v>0</v>
      </c>
      <c r="L40" s="20"/>
      <c r="M40" s="20"/>
      <c r="N40" s="20" t="s">
        <v>155</v>
      </c>
    </row>
    <row r="41" ht="15.75" customHeight="1">
      <c r="A41" s="20" t="s">
        <v>358</v>
      </c>
      <c r="B41" s="20" t="s">
        <v>54</v>
      </c>
      <c r="C41" s="20" t="s">
        <v>359</v>
      </c>
      <c r="D41" s="20" t="s">
        <v>360</v>
      </c>
      <c r="E41" s="20" t="s">
        <v>361</v>
      </c>
      <c r="F41" s="20" t="s">
        <v>362</v>
      </c>
      <c r="G41" s="20" t="s">
        <v>363</v>
      </c>
      <c r="H41" s="20" t="s">
        <v>364</v>
      </c>
      <c r="I41" s="20" t="s">
        <v>110</v>
      </c>
      <c r="J41" s="20" t="s">
        <v>40</v>
      </c>
      <c r="K41" s="20">
        <f t="shared" si="1"/>
        <v>0</v>
      </c>
      <c r="L41" s="20"/>
      <c r="M41" s="20"/>
      <c r="N41" s="20" t="s">
        <v>199</v>
      </c>
    </row>
    <row r="42" ht="15.75" customHeight="1">
      <c r="A42" s="20" t="s">
        <v>365</v>
      </c>
      <c r="B42" s="20" t="s">
        <v>54</v>
      </c>
      <c r="C42" s="20" t="s">
        <v>366</v>
      </c>
      <c r="D42" s="20" t="s">
        <v>367</v>
      </c>
      <c r="E42" s="20" t="s">
        <v>368</v>
      </c>
      <c r="F42" s="20" t="s">
        <v>369</v>
      </c>
      <c r="G42" s="20" t="s">
        <v>370</v>
      </c>
      <c r="H42" s="20" t="s">
        <v>177</v>
      </c>
      <c r="I42" s="20" t="s">
        <v>127</v>
      </c>
      <c r="J42" s="20" t="s">
        <v>40</v>
      </c>
      <c r="K42" s="20">
        <f t="shared" si="1"/>
        <v>0</v>
      </c>
      <c r="L42" s="20"/>
      <c r="M42" s="20"/>
      <c r="N42" s="20" t="s">
        <v>155</v>
      </c>
    </row>
    <row r="43" ht="15.75" customHeight="1">
      <c r="A43" s="20" t="s">
        <v>371</v>
      </c>
      <c r="B43" s="20" t="s">
        <v>54</v>
      </c>
      <c r="C43" s="20" t="s">
        <v>372</v>
      </c>
      <c r="D43" s="20" t="s">
        <v>373</v>
      </c>
      <c r="E43" s="20" t="s">
        <v>374</v>
      </c>
      <c r="F43" s="20" t="s">
        <v>160</v>
      </c>
      <c r="G43" s="20" t="s">
        <v>375</v>
      </c>
      <c r="H43" s="20" t="s">
        <v>270</v>
      </c>
      <c r="I43" s="20" t="s">
        <v>110</v>
      </c>
      <c r="J43" s="20" t="s">
        <v>40</v>
      </c>
      <c r="K43" s="20">
        <f t="shared" si="1"/>
        <v>0</v>
      </c>
      <c r="L43" s="20"/>
      <c r="M43" s="20"/>
      <c r="N43" s="20" t="s">
        <v>119</v>
      </c>
    </row>
    <row r="44" ht="15.75" customHeight="1">
      <c r="A44" s="20" t="s">
        <v>376</v>
      </c>
      <c r="B44" s="20" t="s">
        <v>41</v>
      </c>
      <c r="C44" s="20" t="s">
        <v>377</v>
      </c>
      <c r="D44" s="20" t="s">
        <v>378</v>
      </c>
      <c r="E44" s="20" t="s">
        <v>379</v>
      </c>
      <c r="F44" s="20" t="s">
        <v>380</v>
      </c>
      <c r="G44" s="20" t="s">
        <v>381</v>
      </c>
      <c r="H44" s="20" t="s">
        <v>270</v>
      </c>
      <c r="I44" s="20" t="s">
        <v>93</v>
      </c>
      <c r="J44" s="20" t="s">
        <v>40</v>
      </c>
      <c r="K44" s="20">
        <f t="shared" si="1"/>
        <v>0</v>
      </c>
      <c r="L44" s="20"/>
      <c r="M44" s="20"/>
      <c r="N44" s="20" t="s">
        <v>338</v>
      </c>
    </row>
    <row r="45" ht="15.75" customHeight="1">
      <c r="A45" s="20" t="s">
        <v>382</v>
      </c>
      <c r="B45" s="20" t="s">
        <v>41</v>
      </c>
      <c r="C45" s="20" t="s">
        <v>383</v>
      </c>
      <c r="D45" s="20" t="s">
        <v>384</v>
      </c>
      <c r="E45" s="20" t="s">
        <v>385</v>
      </c>
      <c r="F45" s="20" t="s">
        <v>386</v>
      </c>
      <c r="G45" s="20" t="s">
        <v>387</v>
      </c>
      <c r="H45" s="20" t="s">
        <v>263</v>
      </c>
      <c r="I45" s="20" t="s">
        <v>93</v>
      </c>
      <c r="J45" s="20" t="s">
        <v>40</v>
      </c>
      <c r="K45" s="20">
        <f t="shared" si="1"/>
        <v>0</v>
      </c>
      <c r="L45" s="20"/>
      <c r="M45" s="20"/>
      <c r="N45" s="20" t="s">
        <v>199</v>
      </c>
    </row>
    <row r="46" ht="15.75" customHeight="1">
      <c r="A46" s="20" t="s">
        <v>388</v>
      </c>
      <c r="B46" s="20" t="s">
        <v>41</v>
      </c>
      <c r="C46" s="20" t="s">
        <v>389</v>
      </c>
      <c r="D46" s="20" t="s">
        <v>390</v>
      </c>
      <c r="E46" s="20" t="s">
        <v>391</v>
      </c>
      <c r="F46" s="20" t="s">
        <v>392</v>
      </c>
      <c r="G46" s="20" t="s">
        <v>393</v>
      </c>
      <c r="H46" s="20" t="s">
        <v>394</v>
      </c>
      <c r="I46" s="20" t="s">
        <v>93</v>
      </c>
      <c r="J46" s="20" t="s">
        <v>40</v>
      </c>
      <c r="K46" s="20">
        <f t="shared" si="1"/>
        <v>0</v>
      </c>
      <c r="L46" s="20"/>
      <c r="M46" s="20"/>
      <c r="N46" s="20" t="s">
        <v>199</v>
      </c>
    </row>
    <row r="47" ht="15.75" customHeight="1">
      <c r="A47" s="20" t="s">
        <v>395</v>
      </c>
      <c r="B47" s="20" t="s">
        <v>41</v>
      </c>
      <c r="C47" s="20" t="s">
        <v>396</v>
      </c>
      <c r="D47" s="20" t="s">
        <v>397</v>
      </c>
      <c r="E47" s="20" t="s">
        <v>398</v>
      </c>
      <c r="F47" s="20" t="s">
        <v>399</v>
      </c>
      <c r="G47" s="20" t="s">
        <v>400</v>
      </c>
      <c r="H47" s="20" t="s">
        <v>401</v>
      </c>
      <c r="I47" s="20" t="s">
        <v>110</v>
      </c>
      <c r="J47" s="20" t="s">
        <v>40</v>
      </c>
      <c r="K47" s="20">
        <f t="shared" si="1"/>
        <v>0</v>
      </c>
      <c r="L47" s="20"/>
      <c r="M47" s="20"/>
      <c r="N47" s="20" t="s">
        <v>338</v>
      </c>
    </row>
    <row r="48" ht="15.75" customHeight="1">
      <c r="A48" s="20" t="s">
        <v>402</v>
      </c>
      <c r="B48" s="20" t="s">
        <v>41</v>
      </c>
      <c r="C48" s="20" t="s">
        <v>403</v>
      </c>
      <c r="D48" s="20" t="s">
        <v>404</v>
      </c>
      <c r="E48" s="20" t="s">
        <v>405</v>
      </c>
      <c r="F48" s="20" t="s">
        <v>406</v>
      </c>
      <c r="G48" s="20" t="s">
        <v>407</v>
      </c>
      <c r="H48" s="20" t="s">
        <v>270</v>
      </c>
      <c r="I48" s="20" t="s">
        <v>110</v>
      </c>
      <c r="J48" s="20" t="s">
        <v>40</v>
      </c>
      <c r="K48" s="20">
        <f t="shared" si="1"/>
        <v>0</v>
      </c>
      <c r="L48" s="20"/>
      <c r="M48" s="20"/>
      <c r="N48" s="20" t="s">
        <v>199</v>
      </c>
    </row>
    <row r="49" ht="15.75" customHeight="1">
      <c r="A49" s="20" t="s">
        <v>408</v>
      </c>
      <c r="B49" s="20" t="s">
        <v>41</v>
      </c>
      <c r="C49" s="20" t="s">
        <v>409</v>
      </c>
      <c r="D49" s="20" t="s">
        <v>410</v>
      </c>
      <c r="E49" s="20" t="s">
        <v>411</v>
      </c>
      <c r="F49" s="20" t="s">
        <v>412</v>
      </c>
      <c r="G49" s="20" t="s">
        <v>413</v>
      </c>
      <c r="H49" s="20" t="s">
        <v>414</v>
      </c>
      <c r="I49" s="20" t="s">
        <v>93</v>
      </c>
      <c r="J49" s="20" t="s">
        <v>40</v>
      </c>
      <c r="K49" s="20">
        <f t="shared" si="1"/>
        <v>0</v>
      </c>
      <c r="L49" s="20"/>
      <c r="M49" s="20"/>
      <c r="N49" s="20" t="s">
        <v>102</v>
      </c>
    </row>
    <row r="50" ht="15.75" customHeight="1">
      <c r="A50" s="20" t="s">
        <v>415</v>
      </c>
      <c r="B50" s="20" t="s">
        <v>53</v>
      </c>
      <c r="C50" s="20" t="s">
        <v>416</v>
      </c>
      <c r="D50" s="20" t="s">
        <v>417</v>
      </c>
      <c r="E50" s="20" t="s">
        <v>418</v>
      </c>
      <c r="F50" s="20" t="s">
        <v>160</v>
      </c>
      <c r="G50" s="20" t="s">
        <v>419</v>
      </c>
      <c r="H50" s="20" t="s">
        <v>420</v>
      </c>
      <c r="I50" s="20" t="s">
        <v>93</v>
      </c>
      <c r="J50" s="20" t="s">
        <v>40</v>
      </c>
      <c r="K50" s="20">
        <f t="shared" si="1"/>
        <v>0</v>
      </c>
      <c r="L50" s="20"/>
      <c r="M50" s="20"/>
      <c r="N50" s="20" t="s">
        <v>119</v>
      </c>
    </row>
    <row r="51" ht="15.75" customHeight="1">
      <c r="A51" s="20" t="s">
        <v>421</v>
      </c>
      <c r="B51" s="20" t="s">
        <v>53</v>
      </c>
      <c r="C51" s="20" t="s">
        <v>422</v>
      </c>
      <c r="D51" s="20" t="s">
        <v>423</v>
      </c>
      <c r="E51" s="20" t="s">
        <v>424</v>
      </c>
      <c r="F51" s="20" t="s">
        <v>425</v>
      </c>
      <c r="G51" s="20" t="s">
        <v>426</v>
      </c>
      <c r="H51" s="20" t="s">
        <v>427</v>
      </c>
      <c r="I51" s="20" t="s">
        <v>93</v>
      </c>
      <c r="J51" s="20" t="s">
        <v>40</v>
      </c>
      <c r="K51" s="20">
        <f t="shared" si="1"/>
        <v>0</v>
      </c>
      <c r="L51" s="20"/>
      <c r="M51" s="20"/>
      <c r="N51" s="20" t="s">
        <v>155</v>
      </c>
    </row>
    <row r="52" ht="15.75" customHeight="1">
      <c r="A52" s="20" t="s">
        <v>428</v>
      </c>
      <c r="B52" s="20" t="s">
        <v>53</v>
      </c>
      <c r="C52" s="20" t="s">
        <v>429</v>
      </c>
      <c r="D52" s="20" t="s">
        <v>430</v>
      </c>
      <c r="E52" s="20" t="s">
        <v>431</v>
      </c>
      <c r="F52" s="20" t="s">
        <v>160</v>
      </c>
      <c r="G52" s="20" t="s">
        <v>432</v>
      </c>
      <c r="H52" s="20" t="s">
        <v>433</v>
      </c>
      <c r="I52" s="20" t="s">
        <v>110</v>
      </c>
      <c r="J52" s="20" t="s">
        <v>40</v>
      </c>
      <c r="K52" s="20">
        <f t="shared" si="1"/>
        <v>0</v>
      </c>
      <c r="L52" s="20"/>
      <c r="M52" s="20"/>
      <c r="N52" s="20" t="s">
        <v>119</v>
      </c>
    </row>
    <row r="53" ht="15.75" customHeight="1">
      <c r="A53" s="20" t="s">
        <v>434</v>
      </c>
      <c r="B53" s="20" t="s">
        <v>53</v>
      </c>
      <c r="C53" s="20" t="s">
        <v>435</v>
      </c>
      <c r="D53" s="20" t="s">
        <v>436</v>
      </c>
      <c r="E53" s="20" t="s">
        <v>437</v>
      </c>
      <c r="F53" s="20" t="s">
        <v>275</v>
      </c>
      <c r="G53" s="20" t="s">
        <v>438</v>
      </c>
      <c r="H53" s="20" t="s">
        <v>439</v>
      </c>
      <c r="I53" s="20" t="s">
        <v>127</v>
      </c>
      <c r="J53" s="20" t="s">
        <v>40</v>
      </c>
      <c r="K53" s="20">
        <f t="shared" si="1"/>
        <v>0</v>
      </c>
      <c r="L53" s="20"/>
      <c r="M53" s="20"/>
      <c r="N53" s="20" t="s">
        <v>338</v>
      </c>
    </row>
    <row r="54" ht="15.75" customHeight="1">
      <c r="A54" s="20" t="s">
        <v>440</v>
      </c>
      <c r="B54" s="20" t="s">
        <v>53</v>
      </c>
      <c r="C54" s="20" t="s">
        <v>441</v>
      </c>
      <c r="D54" s="20" t="s">
        <v>442</v>
      </c>
      <c r="E54" s="20" t="s">
        <v>443</v>
      </c>
      <c r="F54" s="20" t="s">
        <v>295</v>
      </c>
      <c r="G54" s="20" t="s">
        <v>444</v>
      </c>
      <c r="H54" s="20" t="s">
        <v>401</v>
      </c>
      <c r="I54" s="20" t="s">
        <v>127</v>
      </c>
      <c r="J54" s="20" t="s">
        <v>40</v>
      </c>
      <c r="K54" s="20">
        <f t="shared" si="1"/>
        <v>0</v>
      </c>
      <c r="L54" s="20"/>
      <c r="M54" s="20"/>
      <c r="N54" s="20" t="s">
        <v>199</v>
      </c>
    </row>
    <row r="55" ht="15.75" customHeight="1">
      <c r="A55" s="20" t="s">
        <v>445</v>
      </c>
      <c r="B55" s="20" t="s">
        <v>53</v>
      </c>
      <c r="C55" s="20" t="s">
        <v>446</v>
      </c>
      <c r="D55" s="20" t="s">
        <v>447</v>
      </c>
      <c r="E55" s="20" t="s">
        <v>448</v>
      </c>
      <c r="F55" s="20" t="s">
        <v>449</v>
      </c>
      <c r="G55" s="20" t="s">
        <v>450</v>
      </c>
      <c r="H55" s="20" t="s">
        <v>451</v>
      </c>
      <c r="I55" s="20" t="s">
        <v>110</v>
      </c>
      <c r="J55" s="20" t="s">
        <v>40</v>
      </c>
      <c r="K55" s="20">
        <f t="shared" si="1"/>
        <v>0</v>
      </c>
      <c r="L55" s="20"/>
      <c r="M55" s="20"/>
      <c r="N55" s="20" t="s">
        <v>155</v>
      </c>
    </row>
    <row r="56" ht="15.75" customHeight="1">
      <c r="A56" s="20" t="s">
        <v>452</v>
      </c>
      <c r="B56" s="20" t="s">
        <v>53</v>
      </c>
      <c r="C56" s="20" t="s">
        <v>453</v>
      </c>
      <c r="D56" s="20" t="s">
        <v>454</v>
      </c>
      <c r="E56" s="20" t="s">
        <v>455</v>
      </c>
      <c r="F56" s="20" t="s">
        <v>456</v>
      </c>
      <c r="G56" s="20" t="s">
        <v>457</v>
      </c>
      <c r="H56" s="20" t="s">
        <v>420</v>
      </c>
      <c r="I56" s="20" t="s">
        <v>127</v>
      </c>
      <c r="J56" s="20" t="s">
        <v>40</v>
      </c>
      <c r="K56" s="20">
        <f t="shared" si="1"/>
        <v>0</v>
      </c>
      <c r="L56" s="20"/>
      <c r="M56" s="20"/>
      <c r="N56" s="20" t="s">
        <v>94</v>
      </c>
    </row>
    <row r="57" ht="15.75" customHeight="1">
      <c r="A57" s="20" t="s">
        <v>458</v>
      </c>
      <c r="B57" s="20" t="s">
        <v>57</v>
      </c>
      <c r="C57" s="20" t="s">
        <v>459</v>
      </c>
      <c r="D57" s="20" t="s">
        <v>460</v>
      </c>
      <c r="E57" s="20" t="s">
        <v>461</v>
      </c>
      <c r="F57" s="20" t="s">
        <v>211</v>
      </c>
      <c r="G57" s="20" t="s">
        <v>462</v>
      </c>
      <c r="H57" s="20" t="s">
        <v>463</v>
      </c>
      <c r="I57" s="20" t="s">
        <v>93</v>
      </c>
      <c r="J57" s="20" t="s">
        <v>40</v>
      </c>
      <c r="K57" s="20">
        <f t="shared" si="1"/>
        <v>0</v>
      </c>
      <c r="L57" s="20"/>
      <c r="M57" s="20"/>
      <c r="N57" s="20" t="s">
        <v>102</v>
      </c>
    </row>
    <row r="58" ht="15.75" customHeight="1">
      <c r="A58" s="20" t="s">
        <v>464</v>
      </c>
      <c r="B58" s="20" t="s">
        <v>57</v>
      </c>
      <c r="C58" s="20" t="s">
        <v>465</v>
      </c>
      <c r="D58" s="20" t="s">
        <v>466</v>
      </c>
      <c r="E58" s="20" t="s">
        <v>467</v>
      </c>
      <c r="F58" s="20" t="s">
        <v>449</v>
      </c>
      <c r="G58" s="20" t="s">
        <v>468</v>
      </c>
      <c r="H58" s="20" t="s">
        <v>220</v>
      </c>
      <c r="I58" s="20" t="s">
        <v>93</v>
      </c>
      <c r="J58" s="20" t="s">
        <v>40</v>
      </c>
      <c r="K58" s="20">
        <f t="shared" si="1"/>
        <v>0</v>
      </c>
      <c r="L58" s="20"/>
      <c r="M58" s="20"/>
      <c r="N58" s="20" t="s">
        <v>155</v>
      </c>
    </row>
    <row r="59" ht="15.75" customHeight="1">
      <c r="A59" s="20" t="s">
        <v>469</v>
      </c>
      <c r="B59" s="20" t="s">
        <v>57</v>
      </c>
      <c r="C59" s="20" t="s">
        <v>470</v>
      </c>
      <c r="D59" s="20" t="s">
        <v>471</v>
      </c>
      <c r="E59" s="20" t="s">
        <v>472</v>
      </c>
      <c r="F59" s="20" t="s">
        <v>473</v>
      </c>
      <c r="G59" s="20" t="s">
        <v>474</v>
      </c>
      <c r="H59" s="20" t="s">
        <v>475</v>
      </c>
      <c r="I59" s="20" t="s">
        <v>127</v>
      </c>
      <c r="J59" s="20" t="s">
        <v>40</v>
      </c>
      <c r="K59" s="20">
        <f t="shared" si="1"/>
        <v>0</v>
      </c>
      <c r="L59" s="20"/>
      <c r="M59" s="20"/>
      <c r="N59" s="20" t="s">
        <v>111</v>
      </c>
    </row>
    <row r="60" ht="15.75" customHeight="1">
      <c r="A60" s="20" t="s">
        <v>476</v>
      </c>
      <c r="B60" s="20" t="s">
        <v>57</v>
      </c>
      <c r="C60" s="20" t="s">
        <v>477</v>
      </c>
      <c r="D60" s="20" t="s">
        <v>478</v>
      </c>
      <c r="E60" s="20" t="s">
        <v>479</v>
      </c>
      <c r="F60" s="20" t="s">
        <v>116</v>
      </c>
      <c r="G60" s="20" t="s">
        <v>480</v>
      </c>
      <c r="H60" s="20" t="s">
        <v>154</v>
      </c>
      <c r="I60" s="20" t="s">
        <v>110</v>
      </c>
      <c r="J60" s="20" t="s">
        <v>40</v>
      </c>
      <c r="K60" s="20">
        <f t="shared" si="1"/>
        <v>0</v>
      </c>
      <c r="L60" s="20"/>
      <c r="M60" s="20"/>
      <c r="N60" s="20" t="s">
        <v>119</v>
      </c>
    </row>
    <row r="61" ht="15.75" customHeight="1">
      <c r="A61" s="20" t="s">
        <v>481</v>
      </c>
      <c r="B61" s="20" t="s">
        <v>57</v>
      </c>
      <c r="C61" s="20" t="s">
        <v>482</v>
      </c>
      <c r="D61" s="20" t="s">
        <v>483</v>
      </c>
      <c r="E61" s="20" t="s">
        <v>484</v>
      </c>
      <c r="F61" s="20" t="s">
        <v>485</v>
      </c>
      <c r="G61" s="20" t="s">
        <v>486</v>
      </c>
      <c r="H61" s="20" t="s">
        <v>487</v>
      </c>
      <c r="I61" s="20" t="s">
        <v>127</v>
      </c>
      <c r="J61" s="20" t="s">
        <v>40</v>
      </c>
      <c r="K61" s="20">
        <f t="shared" si="1"/>
        <v>0</v>
      </c>
      <c r="L61" s="20"/>
      <c r="M61" s="20"/>
      <c r="N61" s="20" t="s">
        <v>94</v>
      </c>
    </row>
    <row r="62" ht="15.75" customHeight="1">
      <c r="A62" s="20" t="s">
        <v>488</v>
      </c>
      <c r="B62" s="20" t="s">
        <v>56</v>
      </c>
      <c r="C62" s="20" t="s">
        <v>489</v>
      </c>
      <c r="D62" s="20" t="s">
        <v>490</v>
      </c>
      <c r="E62" s="20" t="s">
        <v>491</v>
      </c>
      <c r="F62" s="20" t="s">
        <v>492</v>
      </c>
      <c r="G62" s="20" t="s">
        <v>493</v>
      </c>
      <c r="H62" s="20" t="s">
        <v>302</v>
      </c>
      <c r="I62" s="20" t="s">
        <v>110</v>
      </c>
      <c r="J62" s="20" t="s">
        <v>40</v>
      </c>
      <c r="K62" s="20">
        <f t="shared" si="1"/>
        <v>0</v>
      </c>
      <c r="L62" s="20"/>
      <c r="M62" s="20"/>
      <c r="N62" s="20" t="s">
        <v>102</v>
      </c>
    </row>
    <row r="63" ht="15.75" customHeight="1">
      <c r="A63" s="20" t="s">
        <v>494</v>
      </c>
      <c r="B63" s="20" t="s">
        <v>56</v>
      </c>
      <c r="C63" s="20" t="s">
        <v>495</v>
      </c>
      <c r="D63" s="20" t="s">
        <v>496</v>
      </c>
      <c r="E63" s="20" t="s">
        <v>497</v>
      </c>
      <c r="F63" s="20" t="s">
        <v>498</v>
      </c>
      <c r="G63" s="20" t="s">
        <v>499</v>
      </c>
      <c r="H63" s="20" t="s">
        <v>309</v>
      </c>
      <c r="I63" s="20" t="s">
        <v>110</v>
      </c>
      <c r="J63" s="20" t="s">
        <v>40</v>
      </c>
      <c r="K63" s="20">
        <f t="shared" si="1"/>
        <v>0</v>
      </c>
      <c r="L63" s="20"/>
      <c r="M63" s="20"/>
      <c r="N63" s="20" t="s">
        <v>199</v>
      </c>
    </row>
    <row r="64" ht="15.75" customHeight="1">
      <c r="A64" s="20" t="s">
        <v>500</v>
      </c>
      <c r="B64" s="20" t="s">
        <v>56</v>
      </c>
      <c r="C64" s="20" t="s">
        <v>501</v>
      </c>
      <c r="D64" s="20" t="s">
        <v>502</v>
      </c>
      <c r="E64" s="20" t="s">
        <v>503</v>
      </c>
      <c r="F64" s="20" t="s">
        <v>504</v>
      </c>
      <c r="G64" s="20" t="s">
        <v>505</v>
      </c>
      <c r="H64" s="20" t="s">
        <v>506</v>
      </c>
      <c r="I64" s="20" t="s">
        <v>127</v>
      </c>
      <c r="J64" s="20" t="s">
        <v>40</v>
      </c>
      <c r="K64" s="20">
        <f t="shared" si="1"/>
        <v>0</v>
      </c>
      <c r="L64" s="20"/>
      <c r="M64" s="20"/>
      <c r="N64" s="20" t="s">
        <v>94</v>
      </c>
    </row>
    <row r="65" ht="15.75" customHeight="1">
      <c r="A65" s="20" t="s">
        <v>507</v>
      </c>
      <c r="B65" s="20" t="s">
        <v>56</v>
      </c>
      <c r="C65" s="20" t="s">
        <v>508</v>
      </c>
      <c r="D65" s="20" t="s">
        <v>509</v>
      </c>
      <c r="E65" s="20" t="s">
        <v>510</v>
      </c>
      <c r="F65" s="20" t="s">
        <v>211</v>
      </c>
      <c r="G65" s="20" t="s">
        <v>511</v>
      </c>
      <c r="H65" s="20" t="s">
        <v>487</v>
      </c>
      <c r="I65" s="20" t="s">
        <v>512</v>
      </c>
      <c r="J65" s="20" t="s">
        <v>40</v>
      </c>
      <c r="K65" s="20">
        <f t="shared" si="1"/>
        <v>0</v>
      </c>
      <c r="L65" s="20"/>
      <c r="M65" s="20"/>
      <c r="N65" s="20" t="s">
        <v>102</v>
      </c>
    </row>
    <row r="66" ht="15.75" customHeight="1">
      <c r="A66" s="20" t="s">
        <v>513</v>
      </c>
      <c r="B66" s="20" t="s">
        <v>51</v>
      </c>
      <c r="C66" s="20" t="s">
        <v>514</v>
      </c>
      <c r="D66" s="20" t="s">
        <v>515</v>
      </c>
      <c r="E66" s="20" t="s">
        <v>516</v>
      </c>
      <c r="F66" s="20" t="s">
        <v>517</v>
      </c>
      <c r="G66" s="20" t="s">
        <v>518</v>
      </c>
      <c r="H66" s="20" t="s">
        <v>519</v>
      </c>
      <c r="I66" s="20" t="s">
        <v>93</v>
      </c>
      <c r="J66" s="20" t="s">
        <v>40</v>
      </c>
      <c r="K66" s="20">
        <f t="shared" si="1"/>
        <v>0</v>
      </c>
      <c r="L66" s="20"/>
      <c r="M66" s="20"/>
      <c r="N66" s="20" t="s">
        <v>170</v>
      </c>
    </row>
    <row r="67" ht="15.75" customHeight="1">
      <c r="A67" s="20" t="s">
        <v>520</v>
      </c>
      <c r="B67" s="20" t="s">
        <v>51</v>
      </c>
      <c r="C67" s="20" t="s">
        <v>521</v>
      </c>
      <c r="D67" s="20" t="s">
        <v>522</v>
      </c>
      <c r="E67" s="20" t="s">
        <v>523</v>
      </c>
      <c r="F67" s="20" t="s">
        <v>524</v>
      </c>
      <c r="G67" s="20" t="s">
        <v>525</v>
      </c>
      <c r="H67" s="20" t="s">
        <v>526</v>
      </c>
      <c r="I67" s="20" t="s">
        <v>110</v>
      </c>
      <c r="J67" s="20" t="s">
        <v>40</v>
      </c>
      <c r="K67" s="20">
        <f t="shared" si="1"/>
        <v>0</v>
      </c>
      <c r="L67" s="20"/>
      <c r="M67" s="20"/>
      <c r="N67" s="20" t="s">
        <v>170</v>
      </c>
    </row>
    <row r="68" ht="15.75" customHeight="1">
      <c r="A68" s="20" t="s">
        <v>527</v>
      </c>
      <c r="B68" s="20" t="s">
        <v>51</v>
      </c>
      <c r="C68" s="20" t="s">
        <v>528</v>
      </c>
      <c r="D68" s="20" t="s">
        <v>529</v>
      </c>
      <c r="E68" s="20" t="s">
        <v>530</v>
      </c>
      <c r="F68" s="20" t="s">
        <v>531</v>
      </c>
      <c r="G68" s="20" t="s">
        <v>532</v>
      </c>
      <c r="H68" s="20" t="s">
        <v>533</v>
      </c>
      <c r="I68" s="20" t="s">
        <v>127</v>
      </c>
      <c r="J68" s="20" t="s">
        <v>40</v>
      </c>
      <c r="K68" s="20">
        <f t="shared" si="1"/>
        <v>0</v>
      </c>
      <c r="L68" s="20"/>
      <c r="M68" s="20"/>
      <c r="N68" s="20" t="s">
        <v>170</v>
      </c>
    </row>
    <row r="69" ht="15.75" customHeight="1">
      <c r="A69" s="20" t="s">
        <v>534</v>
      </c>
      <c r="B69" s="20" t="s">
        <v>51</v>
      </c>
      <c r="C69" s="20" t="s">
        <v>535</v>
      </c>
      <c r="D69" s="20" t="s">
        <v>536</v>
      </c>
      <c r="E69" s="20" t="s">
        <v>537</v>
      </c>
      <c r="F69" s="20" t="s">
        <v>211</v>
      </c>
      <c r="G69" s="20" t="s">
        <v>538</v>
      </c>
      <c r="H69" s="20" t="s">
        <v>539</v>
      </c>
      <c r="I69" s="20" t="s">
        <v>110</v>
      </c>
      <c r="J69" s="20" t="s">
        <v>40</v>
      </c>
      <c r="K69" s="20">
        <f t="shared" si="1"/>
        <v>0</v>
      </c>
      <c r="L69" s="20"/>
      <c r="M69" s="20"/>
      <c r="N69" s="20" t="s">
        <v>102</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2:K69">
    <cfRule type="colorScale" priority="1">
      <colorScale>
        <cfvo type="min"/>
        <cfvo type="percentile" val="50"/>
        <cfvo type="max"/>
        <color rgb="FFFEE2E2"/>
        <color rgb="FFFEF3C7"/>
        <color rgb="FFDCFCE7"/>
      </colorScale>
    </cfRule>
  </conditionalFormatting>
  <dataValidations>
    <dataValidation type="list" allowBlank="1" sqref="J2:J69">
      <formula1>"Not Started,Planned,Partial,Implemented,Implemented &amp; Tested,Automated &amp; Monitored,N/A"</formula1>
    </dataValidation>
    <dataValidation type="list" allowBlank="1" sqref="I2:I69">
      <formula1>"Critical,High,Medium,Low"</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5.0"/>
    <col customWidth="1" min="3" max="3" width="22.0"/>
    <col customWidth="1" min="4" max="5" width="20.0"/>
    <col customWidth="1" min="6" max="6" width="25.0"/>
    <col customWidth="1" min="7" max="7" width="28.0"/>
    <col customWidth="1" min="8" max="8" width="25.0"/>
    <col customWidth="1" min="9" max="9" width="24.0"/>
    <col customWidth="1" min="10" max="10" width="14.0"/>
    <col customWidth="1" min="11" max="11" width="10.0"/>
    <col customWidth="1" min="12" max="12" width="18.0"/>
    <col customWidth="1" min="13" max="13" width="12.0"/>
    <col customWidth="1" min="14" max="15" width="35.0"/>
    <col customWidth="1" min="16" max="17" width="16.0"/>
    <col customWidth="1" min="18" max="18" width="30.0"/>
    <col customWidth="1" min="19" max="26" width="8.63"/>
  </cols>
  <sheetData>
    <row r="1" ht="31.5" customHeight="1">
      <c r="A1" s="18" t="s">
        <v>540</v>
      </c>
      <c r="B1" s="18" t="s">
        <v>541</v>
      </c>
      <c r="C1" s="18" t="s">
        <v>81</v>
      </c>
      <c r="D1" s="18" t="s">
        <v>542</v>
      </c>
      <c r="E1" s="18" t="s">
        <v>543</v>
      </c>
      <c r="F1" s="18" t="s">
        <v>544</v>
      </c>
      <c r="G1" s="18" t="s">
        <v>545</v>
      </c>
      <c r="H1" s="18" t="s">
        <v>546</v>
      </c>
      <c r="I1" s="18" t="s">
        <v>547</v>
      </c>
      <c r="J1" s="18" t="s">
        <v>548</v>
      </c>
      <c r="K1" s="18" t="s">
        <v>549</v>
      </c>
      <c r="L1" s="18" t="s">
        <v>550</v>
      </c>
      <c r="M1" s="18" t="s">
        <v>551</v>
      </c>
      <c r="N1" s="18" t="s">
        <v>552</v>
      </c>
      <c r="O1" s="18" t="s">
        <v>553</v>
      </c>
      <c r="P1" s="18" t="s">
        <v>554</v>
      </c>
      <c r="Q1" s="18" t="s">
        <v>555</v>
      </c>
      <c r="R1" s="18" t="s">
        <v>84</v>
      </c>
    </row>
    <row r="2">
      <c r="A2" s="20" t="s">
        <v>556</v>
      </c>
      <c r="B2" s="20" t="s">
        <v>557</v>
      </c>
      <c r="C2" s="20" t="s">
        <v>558</v>
      </c>
      <c r="D2" s="20" t="s">
        <v>559</v>
      </c>
      <c r="E2" s="20" t="s">
        <v>560</v>
      </c>
      <c r="F2" s="20" t="s">
        <v>561</v>
      </c>
      <c r="G2" s="20" t="s">
        <v>562</v>
      </c>
      <c r="H2" s="20" t="s">
        <v>563</v>
      </c>
      <c r="I2" s="20" t="s">
        <v>564</v>
      </c>
      <c r="J2" s="20" t="s">
        <v>565</v>
      </c>
      <c r="K2" s="20" t="s">
        <v>566</v>
      </c>
      <c r="L2" s="20" t="s">
        <v>567</v>
      </c>
      <c r="M2" s="20" t="s">
        <v>127</v>
      </c>
      <c r="N2" s="20" t="s">
        <v>568</v>
      </c>
      <c r="O2" s="20" t="s">
        <v>569</v>
      </c>
      <c r="P2" s="20" t="s">
        <v>42</v>
      </c>
      <c r="Q2" s="20"/>
      <c r="R2" s="20" t="s">
        <v>570</v>
      </c>
    </row>
    <row r="3">
      <c r="A3" s="20" t="s">
        <v>571</v>
      </c>
      <c r="B3" s="20" t="s">
        <v>572</v>
      </c>
      <c r="C3" s="20" t="s">
        <v>573</v>
      </c>
      <c r="D3" s="20" t="s">
        <v>574</v>
      </c>
      <c r="E3" s="20" t="s">
        <v>575</v>
      </c>
      <c r="F3" s="20" t="s">
        <v>576</v>
      </c>
      <c r="G3" s="20" t="s">
        <v>577</v>
      </c>
      <c r="H3" s="20" t="s">
        <v>578</v>
      </c>
      <c r="I3" s="20" t="s">
        <v>579</v>
      </c>
      <c r="J3" s="20" t="s">
        <v>567</v>
      </c>
      <c r="K3" s="20" t="s">
        <v>567</v>
      </c>
      <c r="L3" s="20" t="s">
        <v>580</v>
      </c>
      <c r="M3" s="20" t="s">
        <v>110</v>
      </c>
      <c r="N3" s="20" t="s">
        <v>581</v>
      </c>
      <c r="O3" s="20" t="s">
        <v>582</v>
      </c>
      <c r="P3" s="20" t="s">
        <v>42</v>
      </c>
      <c r="Q3" s="20"/>
      <c r="R3" s="20" t="s">
        <v>570</v>
      </c>
    </row>
    <row r="4">
      <c r="A4" s="20"/>
      <c r="B4" s="20"/>
      <c r="C4" s="20"/>
      <c r="D4" s="20"/>
      <c r="E4" s="20"/>
      <c r="F4" s="20"/>
      <c r="G4" s="20"/>
      <c r="H4" s="20"/>
      <c r="I4" s="20"/>
      <c r="J4" s="20"/>
      <c r="K4" s="20"/>
      <c r="L4" s="20"/>
      <c r="M4" s="20"/>
      <c r="N4" s="20"/>
      <c r="O4" s="20"/>
      <c r="P4" s="20"/>
      <c r="Q4" s="20"/>
      <c r="R4" s="20"/>
    </row>
    <row r="5">
      <c r="A5" s="20"/>
      <c r="B5" s="20"/>
      <c r="C5" s="20"/>
      <c r="D5" s="20"/>
      <c r="E5" s="20"/>
      <c r="F5" s="20"/>
      <c r="G5" s="20"/>
      <c r="H5" s="20"/>
      <c r="I5" s="20"/>
      <c r="J5" s="20"/>
      <c r="K5" s="20"/>
      <c r="L5" s="20"/>
      <c r="M5" s="20"/>
      <c r="N5" s="20"/>
      <c r="O5" s="20"/>
      <c r="P5" s="20"/>
      <c r="Q5" s="20"/>
      <c r="R5" s="20"/>
    </row>
    <row r="6">
      <c r="A6" s="20"/>
      <c r="B6" s="20"/>
      <c r="C6" s="20"/>
      <c r="D6" s="20"/>
      <c r="E6" s="20"/>
      <c r="F6" s="20"/>
      <c r="G6" s="20"/>
      <c r="H6" s="20"/>
      <c r="I6" s="20"/>
      <c r="J6" s="20"/>
      <c r="K6" s="20"/>
      <c r="L6" s="20"/>
      <c r="M6" s="20"/>
      <c r="N6" s="20"/>
      <c r="O6" s="20"/>
      <c r="P6" s="20"/>
      <c r="Q6" s="20"/>
      <c r="R6" s="20"/>
    </row>
    <row r="7">
      <c r="A7" s="20"/>
      <c r="B7" s="20"/>
      <c r="C7" s="20"/>
      <c r="D7" s="20"/>
      <c r="E7" s="20"/>
      <c r="F7" s="20"/>
      <c r="G7" s="20"/>
      <c r="H7" s="20"/>
      <c r="I7" s="20"/>
      <c r="J7" s="20"/>
      <c r="K7" s="20"/>
      <c r="L7" s="20"/>
      <c r="M7" s="20"/>
      <c r="N7" s="20"/>
      <c r="O7" s="20"/>
      <c r="P7" s="20"/>
      <c r="Q7" s="20"/>
      <c r="R7" s="20"/>
    </row>
    <row r="8">
      <c r="A8" s="20"/>
      <c r="B8" s="20"/>
      <c r="C8" s="20"/>
      <c r="D8" s="20"/>
      <c r="E8" s="20"/>
      <c r="F8" s="20"/>
      <c r="G8" s="20"/>
      <c r="H8" s="20"/>
      <c r="I8" s="20"/>
      <c r="J8" s="20"/>
      <c r="K8" s="20"/>
      <c r="L8" s="20"/>
      <c r="M8" s="20"/>
      <c r="N8" s="20"/>
      <c r="O8" s="20"/>
      <c r="P8" s="20"/>
      <c r="Q8" s="20"/>
      <c r="R8" s="20"/>
    </row>
    <row r="9">
      <c r="A9" s="20"/>
      <c r="B9" s="20"/>
      <c r="C9" s="20"/>
      <c r="D9" s="20"/>
      <c r="E9" s="20"/>
      <c r="F9" s="20"/>
      <c r="G9" s="20"/>
      <c r="H9" s="20"/>
      <c r="I9" s="20"/>
      <c r="J9" s="20"/>
      <c r="K9" s="20"/>
      <c r="L9" s="20"/>
      <c r="M9" s="20"/>
      <c r="N9" s="20"/>
      <c r="O9" s="20"/>
      <c r="P9" s="20"/>
      <c r="Q9" s="20"/>
      <c r="R9" s="20"/>
    </row>
    <row r="10">
      <c r="A10" s="20"/>
      <c r="B10" s="20"/>
      <c r="C10" s="20"/>
      <c r="D10" s="20"/>
      <c r="E10" s="20"/>
      <c r="F10" s="20"/>
      <c r="G10" s="20"/>
      <c r="H10" s="20"/>
      <c r="I10" s="20"/>
      <c r="J10" s="20"/>
      <c r="K10" s="20"/>
      <c r="L10" s="20"/>
      <c r="M10" s="20"/>
      <c r="N10" s="20"/>
      <c r="O10" s="20"/>
      <c r="P10" s="20"/>
      <c r="Q10" s="20"/>
      <c r="R10" s="20"/>
    </row>
    <row r="11">
      <c r="A11" s="20"/>
      <c r="B11" s="20"/>
      <c r="C11" s="20"/>
      <c r="D11" s="20"/>
      <c r="E11" s="20"/>
      <c r="F11" s="20"/>
      <c r="G11" s="20"/>
      <c r="H11" s="20"/>
      <c r="I11" s="20"/>
      <c r="J11" s="20"/>
      <c r="K11" s="20"/>
      <c r="L11" s="20"/>
      <c r="M11" s="20"/>
      <c r="N11" s="20"/>
      <c r="O11" s="20"/>
      <c r="P11" s="20"/>
      <c r="Q11" s="20"/>
      <c r="R11" s="20"/>
    </row>
    <row r="12">
      <c r="A12" s="20"/>
      <c r="B12" s="20"/>
      <c r="C12" s="20"/>
      <c r="D12" s="20"/>
      <c r="E12" s="20"/>
      <c r="F12" s="20"/>
      <c r="G12" s="20"/>
      <c r="H12" s="20"/>
      <c r="I12" s="20"/>
      <c r="J12" s="20"/>
      <c r="K12" s="20"/>
      <c r="L12" s="20"/>
      <c r="M12" s="20"/>
      <c r="N12" s="20"/>
      <c r="O12" s="20"/>
      <c r="P12" s="20"/>
      <c r="Q12" s="20"/>
      <c r="R12" s="20"/>
    </row>
    <row r="13">
      <c r="A13" s="20"/>
      <c r="B13" s="20"/>
      <c r="C13" s="20"/>
      <c r="D13" s="20"/>
      <c r="E13" s="20"/>
      <c r="F13" s="20"/>
      <c r="G13" s="20"/>
      <c r="H13" s="20"/>
      <c r="I13" s="20"/>
      <c r="J13" s="20"/>
      <c r="K13" s="20"/>
      <c r="L13" s="20"/>
      <c r="M13" s="20"/>
      <c r="N13" s="20"/>
      <c r="O13" s="20"/>
      <c r="P13" s="20"/>
      <c r="Q13" s="20"/>
      <c r="R13" s="20"/>
    </row>
    <row r="14">
      <c r="A14" s="20"/>
      <c r="B14" s="20"/>
      <c r="C14" s="20"/>
      <c r="D14" s="20"/>
      <c r="E14" s="20"/>
      <c r="F14" s="20"/>
      <c r="G14" s="20"/>
      <c r="H14" s="20"/>
      <c r="I14" s="20"/>
      <c r="J14" s="20"/>
      <c r="K14" s="20"/>
      <c r="L14" s="20"/>
      <c r="M14" s="20"/>
      <c r="N14" s="20"/>
      <c r="O14" s="20"/>
      <c r="P14" s="20"/>
      <c r="Q14" s="20"/>
      <c r="R14" s="20"/>
    </row>
    <row r="15">
      <c r="A15" s="20"/>
      <c r="B15" s="20"/>
      <c r="C15" s="20"/>
      <c r="D15" s="20"/>
      <c r="E15" s="20"/>
      <c r="F15" s="20"/>
      <c r="G15" s="20"/>
      <c r="H15" s="20"/>
      <c r="I15" s="20"/>
      <c r="J15" s="20"/>
      <c r="K15" s="20"/>
      <c r="L15" s="20"/>
      <c r="M15" s="20"/>
      <c r="N15" s="20"/>
      <c r="O15" s="20"/>
      <c r="P15" s="20"/>
      <c r="Q15" s="20"/>
      <c r="R15" s="20"/>
    </row>
    <row r="16">
      <c r="A16" s="20"/>
      <c r="B16" s="20"/>
      <c r="C16" s="20"/>
      <c r="D16" s="20"/>
      <c r="E16" s="20"/>
      <c r="F16" s="20"/>
      <c r="G16" s="20"/>
      <c r="H16" s="20"/>
      <c r="I16" s="20"/>
      <c r="J16" s="20"/>
      <c r="K16" s="20"/>
      <c r="L16" s="20"/>
      <c r="M16" s="20"/>
      <c r="N16" s="20"/>
      <c r="O16" s="20"/>
      <c r="P16" s="20"/>
      <c r="Q16" s="20"/>
      <c r="R16" s="20"/>
    </row>
    <row r="17">
      <c r="A17" s="20"/>
      <c r="B17" s="20"/>
      <c r="C17" s="20"/>
      <c r="D17" s="20"/>
      <c r="E17" s="20"/>
      <c r="F17" s="20"/>
      <c r="G17" s="20"/>
      <c r="H17" s="20"/>
      <c r="I17" s="20"/>
      <c r="J17" s="20"/>
      <c r="K17" s="20"/>
      <c r="L17" s="20"/>
      <c r="M17" s="20"/>
      <c r="N17" s="20"/>
      <c r="O17" s="20"/>
      <c r="P17" s="20"/>
      <c r="Q17" s="20"/>
      <c r="R17" s="20"/>
    </row>
    <row r="18">
      <c r="A18" s="20"/>
      <c r="B18" s="20"/>
      <c r="C18" s="20"/>
      <c r="D18" s="20"/>
      <c r="E18" s="20"/>
      <c r="F18" s="20"/>
      <c r="G18" s="20"/>
      <c r="H18" s="20"/>
      <c r="I18" s="20"/>
      <c r="J18" s="20"/>
      <c r="K18" s="20"/>
      <c r="L18" s="20"/>
      <c r="M18" s="20"/>
      <c r="N18" s="20"/>
      <c r="O18" s="20"/>
      <c r="P18" s="20"/>
      <c r="Q18" s="20"/>
      <c r="R18" s="20"/>
    </row>
    <row r="19">
      <c r="A19" s="20"/>
      <c r="B19" s="20"/>
      <c r="C19" s="20"/>
      <c r="D19" s="20"/>
      <c r="E19" s="20"/>
      <c r="F19" s="20"/>
      <c r="G19" s="20"/>
      <c r="H19" s="20"/>
      <c r="I19" s="20"/>
      <c r="J19" s="20"/>
      <c r="K19" s="20"/>
      <c r="L19" s="20"/>
      <c r="M19" s="20"/>
      <c r="N19" s="20"/>
      <c r="O19" s="20"/>
      <c r="P19" s="20"/>
      <c r="Q19" s="20"/>
      <c r="R19" s="20"/>
    </row>
    <row r="20">
      <c r="A20" s="20"/>
      <c r="B20" s="20"/>
      <c r="C20" s="20"/>
      <c r="D20" s="20"/>
      <c r="E20" s="20"/>
      <c r="F20" s="20"/>
      <c r="G20" s="20"/>
      <c r="H20" s="20"/>
      <c r="I20" s="20"/>
      <c r="J20" s="20"/>
      <c r="K20" s="20"/>
      <c r="L20" s="20"/>
      <c r="M20" s="20"/>
      <c r="N20" s="20"/>
      <c r="O20" s="20"/>
      <c r="P20" s="20"/>
      <c r="Q20" s="20"/>
      <c r="R20" s="20"/>
    </row>
    <row r="21" ht="15.75" customHeight="1">
      <c r="A21" s="20"/>
      <c r="B21" s="20"/>
      <c r="C21" s="20"/>
      <c r="D21" s="20"/>
      <c r="E21" s="20"/>
      <c r="F21" s="20"/>
      <c r="G21" s="20"/>
      <c r="H21" s="20"/>
      <c r="I21" s="20"/>
      <c r="J21" s="20"/>
      <c r="K21" s="20"/>
      <c r="L21" s="20"/>
      <c r="M21" s="20"/>
      <c r="N21" s="20"/>
      <c r="O21" s="20"/>
      <c r="P21" s="20"/>
      <c r="Q21" s="20"/>
      <c r="R21" s="20"/>
    </row>
    <row r="22" ht="15.75" customHeight="1">
      <c r="A22" s="20"/>
      <c r="B22" s="20"/>
      <c r="C22" s="20"/>
      <c r="D22" s="20"/>
      <c r="E22" s="20"/>
      <c r="F22" s="20"/>
      <c r="G22" s="20"/>
      <c r="H22" s="20"/>
      <c r="I22" s="20"/>
      <c r="J22" s="20"/>
      <c r="K22" s="20"/>
      <c r="L22" s="20"/>
      <c r="M22" s="20"/>
      <c r="N22" s="20"/>
      <c r="O22" s="20"/>
      <c r="P22" s="20"/>
      <c r="Q22" s="20"/>
      <c r="R22" s="20"/>
    </row>
    <row r="23" ht="15.75" customHeight="1">
      <c r="A23" s="20"/>
      <c r="B23" s="20"/>
      <c r="C23" s="20"/>
      <c r="D23" s="20"/>
      <c r="E23" s="20"/>
      <c r="F23" s="20"/>
      <c r="G23" s="20"/>
      <c r="H23" s="20"/>
      <c r="I23" s="20"/>
      <c r="J23" s="20"/>
      <c r="K23" s="20"/>
      <c r="L23" s="20"/>
      <c r="M23" s="20"/>
      <c r="N23" s="20"/>
      <c r="O23" s="20"/>
      <c r="P23" s="20"/>
      <c r="Q23" s="20"/>
      <c r="R23" s="20"/>
    </row>
    <row r="24" ht="15.75" customHeight="1">
      <c r="A24" s="20"/>
      <c r="B24" s="20"/>
      <c r="C24" s="20"/>
      <c r="D24" s="20"/>
      <c r="E24" s="20"/>
      <c r="F24" s="20"/>
      <c r="G24" s="20"/>
      <c r="H24" s="20"/>
      <c r="I24" s="20"/>
      <c r="J24" s="20"/>
      <c r="K24" s="20"/>
      <c r="L24" s="20"/>
      <c r="M24" s="20"/>
      <c r="N24" s="20"/>
      <c r="O24" s="20"/>
      <c r="P24" s="20"/>
      <c r="Q24" s="20"/>
      <c r="R24" s="20"/>
    </row>
    <row r="25" ht="15.75" customHeight="1">
      <c r="A25" s="20"/>
      <c r="B25" s="20"/>
      <c r="C25" s="20"/>
      <c r="D25" s="20"/>
      <c r="E25" s="20"/>
      <c r="F25" s="20"/>
      <c r="G25" s="20"/>
      <c r="H25" s="20"/>
      <c r="I25" s="20"/>
      <c r="J25" s="20"/>
      <c r="K25" s="20"/>
      <c r="L25" s="20"/>
      <c r="M25" s="20"/>
      <c r="N25" s="20"/>
      <c r="O25" s="20"/>
      <c r="P25" s="20"/>
      <c r="Q25" s="20"/>
      <c r="R25" s="20"/>
    </row>
    <row r="26" ht="15.75" customHeight="1">
      <c r="A26" s="20"/>
      <c r="B26" s="20"/>
      <c r="C26" s="20"/>
      <c r="D26" s="20"/>
      <c r="E26" s="20"/>
      <c r="F26" s="20"/>
      <c r="G26" s="20"/>
      <c r="H26" s="20"/>
      <c r="I26" s="20"/>
      <c r="J26" s="20"/>
      <c r="K26" s="20"/>
      <c r="L26" s="20"/>
      <c r="M26" s="20"/>
      <c r="N26" s="20"/>
      <c r="O26" s="20"/>
      <c r="P26" s="20"/>
      <c r="Q26" s="20"/>
      <c r="R26" s="20"/>
    </row>
    <row r="27" ht="15.75" customHeight="1">
      <c r="A27" s="20"/>
      <c r="B27" s="20"/>
      <c r="C27" s="20"/>
      <c r="D27" s="20"/>
      <c r="E27" s="20"/>
      <c r="F27" s="20"/>
      <c r="G27" s="20"/>
      <c r="H27" s="20"/>
      <c r="I27" s="20"/>
      <c r="J27" s="20"/>
      <c r="K27" s="20"/>
      <c r="L27" s="20"/>
      <c r="M27" s="20"/>
      <c r="N27" s="20"/>
      <c r="O27" s="20"/>
      <c r="P27" s="20"/>
      <c r="Q27" s="20"/>
      <c r="R27" s="20"/>
    </row>
    <row r="28" ht="15.75" customHeight="1">
      <c r="A28" s="20"/>
      <c r="B28" s="20"/>
      <c r="C28" s="20"/>
      <c r="D28" s="20"/>
      <c r="E28" s="20"/>
      <c r="F28" s="20"/>
      <c r="G28" s="20"/>
      <c r="H28" s="20"/>
      <c r="I28" s="20"/>
      <c r="J28" s="20"/>
      <c r="K28" s="20"/>
      <c r="L28" s="20"/>
      <c r="M28" s="20"/>
      <c r="N28" s="20"/>
      <c r="O28" s="20"/>
      <c r="P28" s="20"/>
      <c r="Q28" s="20"/>
      <c r="R28" s="20"/>
    </row>
    <row r="29" ht="15.75" customHeight="1">
      <c r="A29" s="20"/>
      <c r="B29" s="20"/>
      <c r="C29" s="20"/>
      <c r="D29" s="20"/>
      <c r="E29" s="20"/>
      <c r="F29" s="20"/>
      <c r="G29" s="20"/>
      <c r="H29" s="20"/>
      <c r="I29" s="20"/>
      <c r="J29" s="20"/>
      <c r="K29" s="20"/>
      <c r="L29" s="20"/>
      <c r="M29" s="20"/>
      <c r="N29" s="20"/>
      <c r="O29" s="20"/>
      <c r="P29" s="20"/>
      <c r="Q29" s="20"/>
      <c r="R29" s="20"/>
    </row>
    <row r="30" ht="15.75" customHeight="1">
      <c r="A30" s="20"/>
      <c r="B30" s="20"/>
      <c r="C30" s="20"/>
      <c r="D30" s="20"/>
      <c r="E30" s="20"/>
      <c r="F30" s="20"/>
      <c r="G30" s="20"/>
      <c r="H30" s="20"/>
      <c r="I30" s="20"/>
      <c r="J30" s="20"/>
      <c r="K30" s="20"/>
      <c r="L30" s="20"/>
      <c r="M30" s="20"/>
      <c r="N30" s="20"/>
      <c r="O30" s="20"/>
      <c r="P30" s="20"/>
      <c r="Q30" s="20"/>
      <c r="R30" s="20"/>
    </row>
    <row r="31" ht="15.75" customHeight="1">
      <c r="A31" s="20"/>
      <c r="B31" s="20"/>
      <c r="C31" s="20"/>
      <c r="D31" s="20"/>
      <c r="E31" s="20"/>
      <c r="F31" s="20"/>
      <c r="G31" s="20"/>
      <c r="H31" s="20"/>
      <c r="I31" s="20"/>
      <c r="J31" s="20"/>
      <c r="K31" s="20"/>
      <c r="L31" s="20"/>
      <c r="M31" s="20"/>
      <c r="N31" s="20"/>
      <c r="O31" s="20"/>
      <c r="P31" s="20"/>
      <c r="Q31" s="20"/>
      <c r="R31" s="20"/>
    </row>
    <row r="32" ht="15.75" customHeight="1">
      <c r="A32" s="20"/>
      <c r="B32" s="20"/>
      <c r="C32" s="20"/>
      <c r="D32" s="20"/>
      <c r="E32" s="20"/>
      <c r="F32" s="20"/>
      <c r="G32" s="20"/>
      <c r="H32" s="20"/>
      <c r="I32" s="20"/>
      <c r="J32" s="20"/>
      <c r="K32" s="20"/>
      <c r="L32" s="20"/>
      <c r="M32" s="20"/>
      <c r="N32" s="20"/>
      <c r="O32" s="20"/>
      <c r="P32" s="20"/>
      <c r="Q32" s="20"/>
      <c r="R32" s="20"/>
    </row>
    <row r="33" ht="15.75" customHeight="1">
      <c r="A33" s="20"/>
      <c r="B33" s="20"/>
      <c r="C33" s="20"/>
      <c r="D33" s="20"/>
      <c r="E33" s="20"/>
      <c r="F33" s="20"/>
      <c r="G33" s="20"/>
      <c r="H33" s="20"/>
      <c r="I33" s="20"/>
      <c r="J33" s="20"/>
      <c r="K33" s="20"/>
      <c r="L33" s="20"/>
      <c r="M33" s="20"/>
      <c r="N33" s="20"/>
      <c r="O33" s="20"/>
      <c r="P33" s="20"/>
      <c r="Q33" s="20"/>
      <c r="R33" s="20"/>
    </row>
    <row r="34" ht="15.75" customHeight="1">
      <c r="A34" s="20"/>
      <c r="B34" s="20"/>
      <c r="C34" s="20"/>
      <c r="D34" s="20"/>
      <c r="E34" s="20"/>
      <c r="F34" s="20"/>
      <c r="G34" s="20"/>
      <c r="H34" s="20"/>
      <c r="I34" s="20"/>
      <c r="J34" s="20"/>
      <c r="K34" s="20"/>
      <c r="L34" s="20"/>
      <c r="M34" s="20"/>
      <c r="N34" s="20"/>
      <c r="O34" s="20"/>
      <c r="P34" s="20"/>
      <c r="Q34" s="20"/>
      <c r="R34" s="20"/>
    </row>
    <row r="35" ht="15.75" customHeight="1">
      <c r="A35" s="20"/>
      <c r="B35" s="20"/>
      <c r="C35" s="20"/>
      <c r="D35" s="20"/>
      <c r="E35" s="20"/>
      <c r="F35" s="20"/>
      <c r="G35" s="20"/>
      <c r="H35" s="20"/>
      <c r="I35" s="20"/>
      <c r="J35" s="20"/>
      <c r="K35" s="20"/>
      <c r="L35" s="20"/>
      <c r="M35" s="20"/>
      <c r="N35" s="20"/>
      <c r="O35" s="20"/>
      <c r="P35" s="20"/>
      <c r="Q35" s="20"/>
      <c r="R35" s="20"/>
    </row>
    <row r="36" ht="15.75" customHeight="1">
      <c r="A36" s="20"/>
      <c r="B36" s="20"/>
      <c r="C36" s="20"/>
      <c r="D36" s="20"/>
      <c r="E36" s="20"/>
      <c r="F36" s="20"/>
      <c r="G36" s="20"/>
      <c r="H36" s="20"/>
      <c r="I36" s="20"/>
      <c r="J36" s="20"/>
      <c r="K36" s="20"/>
      <c r="L36" s="20"/>
      <c r="M36" s="20"/>
      <c r="N36" s="20"/>
      <c r="O36" s="20"/>
      <c r="P36" s="20"/>
      <c r="Q36" s="20"/>
      <c r="R36" s="20"/>
    </row>
    <row r="37" ht="15.75" customHeight="1">
      <c r="A37" s="20"/>
      <c r="B37" s="20"/>
      <c r="C37" s="20"/>
      <c r="D37" s="20"/>
      <c r="E37" s="20"/>
      <c r="F37" s="20"/>
      <c r="G37" s="20"/>
      <c r="H37" s="20"/>
      <c r="I37" s="20"/>
      <c r="J37" s="20"/>
      <c r="K37" s="20"/>
      <c r="L37" s="20"/>
      <c r="M37" s="20"/>
      <c r="N37" s="20"/>
      <c r="O37" s="20"/>
      <c r="P37" s="20"/>
      <c r="Q37" s="20"/>
      <c r="R37" s="20"/>
    </row>
    <row r="38" ht="15.75" customHeight="1">
      <c r="A38" s="20"/>
      <c r="B38" s="20"/>
      <c r="C38" s="20"/>
      <c r="D38" s="20"/>
      <c r="E38" s="20"/>
      <c r="F38" s="20"/>
      <c r="G38" s="20"/>
      <c r="H38" s="20"/>
      <c r="I38" s="20"/>
      <c r="J38" s="20"/>
      <c r="K38" s="20"/>
      <c r="L38" s="20"/>
      <c r="M38" s="20"/>
      <c r="N38" s="20"/>
      <c r="O38" s="20"/>
      <c r="P38" s="20"/>
      <c r="Q38" s="20"/>
      <c r="R38" s="20"/>
    </row>
    <row r="39" ht="15.75" customHeight="1">
      <c r="A39" s="20"/>
      <c r="B39" s="20"/>
      <c r="C39" s="20"/>
      <c r="D39" s="20"/>
      <c r="E39" s="20"/>
      <c r="F39" s="20"/>
      <c r="G39" s="20"/>
      <c r="H39" s="20"/>
      <c r="I39" s="20"/>
      <c r="J39" s="20"/>
      <c r="K39" s="20"/>
      <c r="L39" s="20"/>
      <c r="M39" s="20"/>
      <c r="N39" s="20"/>
      <c r="O39" s="20"/>
      <c r="P39" s="20"/>
      <c r="Q39" s="20"/>
      <c r="R39" s="20"/>
    </row>
    <row r="40" ht="15.75" customHeight="1">
      <c r="A40" s="20"/>
      <c r="B40" s="20"/>
      <c r="C40" s="20"/>
      <c r="D40" s="20"/>
      <c r="E40" s="20"/>
      <c r="F40" s="20"/>
      <c r="G40" s="20"/>
      <c r="H40" s="20"/>
      <c r="I40" s="20"/>
      <c r="J40" s="20"/>
      <c r="K40" s="20"/>
      <c r="L40" s="20"/>
      <c r="M40" s="20"/>
      <c r="N40" s="20"/>
      <c r="O40" s="20"/>
      <c r="P40" s="20"/>
      <c r="Q40" s="20"/>
      <c r="R40" s="20"/>
    </row>
    <row r="41" ht="15.75" customHeight="1">
      <c r="A41" s="20"/>
      <c r="B41" s="20"/>
      <c r="C41" s="20"/>
      <c r="D41" s="20"/>
      <c r="E41" s="20"/>
      <c r="F41" s="20"/>
      <c r="G41" s="20"/>
      <c r="H41" s="20"/>
      <c r="I41" s="20"/>
      <c r="J41" s="20"/>
      <c r="K41" s="20"/>
      <c r="L41" s="20"/>
      <c r="M41" s="20"/>
      <c r="N41" s="20"/>
      <c r="O41" s="20"/>
      <c r="P41" s="20"/>
      <c r="Q41" s="20"/>
      <c r="R41" s="20"/>
    </row>
    <row r="42" ht="15.75" customHeight="1">
      <c r="A42" s="20"/>
      <c r="B42" s="20"/>
      <c r="C42" s="20"/>
      <c r="D42" s="20"/>
      <c r="E42" s="20"/>
      <c r="F42" s="20"/>
      <c r="G42" s="20"/>
      <c r="H42" s="20"/>
      <c r="I42" s="20"/>
      <c r="J42" s="20"/>
      <c r="K42" s="20"/>
      <c r="L42" s="20"/>
      <c r="M42" s="20"/>
      <c r="N42" s="20"/>
      <c r="O42" s="20"/>
      <c r="P42" s="20"/>
      <c r="Q42" s="20"/>
      <c r="R42" s="20"/>
    </row>
    <row r="43" ht="15.75" customHeight="1">
      <c r="A43" s="20"/>
      <c r="B43" s="20"/>
      <c r="C43" s="20"/>
      <c r="D43" s="20"/>
      <c r="E43" s="20"/>
      <c r="F43" s="20"/>
      <c r="G43" s="20"/>
      <c r="H43" s="20"/>
      <c r="I43" s="20"/>
      <c r="J43" s="20"/>
      <c r="K43" s="20"/>
      <c r="L43" s="20"/>
      <c r="M43" s="20"/>
      <c r="N43" s="20"/>
      <c r="O43" s="20"/>
      <c r="P43" s="20"/>
      <c r="Q43" s="20"/>
      <c r="R43" s="20"/>
    </row>
    <row r="44" ht="15.75" customHeight="1">
      <c r="A44" s="20"/>
      <c r="B44" s="20"/>
      <c r="C44" s="20"/>
      <c r="D44" s="20"/>
      <c r="E44" s="20"/>
      <c r="F44" s="20"/>
      <c r="G44" s="20"/>
      <c r="H44" s="20"/>
      <c r="I44" s="20"/>
      <c r="J44" s="20"/>
      <c r="K44" s="20"/>
      <c r="L44" s="20"/>
      <c r="M44" s="20"/>
      <c r="N44" s="20"/>
      <c r="O44" s="20"/>
      <c r="P44" s="20"/>
      <c r="Q44" s="20"/>
      <c r="R44" s="20"/>
    </row>
    <row r="45" ht="15.75" customHeight="1">
      <c r="A45" s="20"/>
      <c r="B45" s="20"/>
      <c r="C45" s="20"/>
      <c r="D45" s="20"/>
      <c r="E45" s="20"/>
      <c r="F45" s="20"/>
      <c r="G45" s="20"/>
      <c r="H45" s="20"/>
      <c r="I45" s="20"/>
      <c r="J45" s="20"/>
      <c r="K45" s="20"/>
      <c r="L45" s="20"/>
      <c r="M45" s="20"/>
      <c r="N45" s="20"/>
      <c r="O45" s="20"/>
      <c r="P45" s="20"/>
      <c r="Q45" s="20"/>
      <c r="R45" s="20"/>
    </row>
    <row r="46" ht="15.75" customHeight="1">
      <c r="A46" s="20"/>
      <c r="B46" s="20"/>
      <c r="C46" s="20"/>
      <c r="D46" s="20"/>
      <c r="E46" s="20"/>
      <c r="F46" s="20"/>
      <c r="G46" s="20"/>
      <c r="H46" s="20"/>
      <c r="I46" s="20"/>
      <c r="J46" s="20"/>
      <c r="K46" s="20"/>
      <c r="L46" s="20"/>
      <c r="M46" s="20"/>
      <c r="N46" s="20"/>
      <c r="O46" s="20"/>
      <c r="P46" s="20"/>
      <c r="Q46" s="20"/>
      <c r="R46" s="20"/>
    </row>
    <row r="47" ht="15.75" customHeight="1">
      <c r="A47" s="20"/>
      <c r="B47" s="20"/>
      <c r="C47" s="20"/>
      <c r="D47" s="20"/>
      <c r="E47" s="20"/>
      <c r="F47" s="20"/>
      <c r="G47" s="20"/>
      <c r="H47" s="20"/>
      <c r="I47" s="20"/>
      <c r="J47" s="20"/>
      <c r="K47" s="20"/>
      <c r="L47" s="20"/>
      <c r="M47" s="20"/>
      <c r="N47" s="20"/>
      <c r="O47" s="20"/>
      <c r="P47" s="20"/>
      <c r="Q47" s="20"/>
      <c r="R47" s="20"/>
    </row>
    <row r="48" ht="15.75" customHeight="1">
      <c r="A48" s="20"/>
      <c r="B48" s="20"/>
      <c r="C48" s="20"/>
      <c r="D48" s="20"/>
      <c r="E48" s="20"/>
      <c r="F48" s="20"/>
      <c r="G48" s="20"/>
      <c r="H48" s="20"/>
      <c r="I48" s="20"/>
      <c r="J48" s="20"/>
      <c r="K48" s="20"/>
      <c r="L48" s="20"/>
      <c r="M48" s="20"/>
      <c r="N48" s="20"/>
      <c r="O48" s="20"/>
      <c r="P48" s="20"/>
      <c r="Q48" s="20"/>
      <c r="R48" s="20"/>
    </row>
    <row r="49" ht="15.75" customHeight="1">
      <c r="A49" s="20"/>
      <c r="B49" s="20"/>
      <c r="C49" s="20"/>
      <c r="D49" s="20"/>
      <c r="E49" s="20"/>
      <c r="F49" s="20"/>
      <c r="G49" s="20"/>
      <c r="H49" s="20"/>
      <c r="I49" s="20"/>
      <c r="J49" s="20"/>
      <c r="K49" s="20"/>
      <c r="L49" s="20"/>
      <c r="M49" s="20"/>
      <c r="N49" s="20"/>
      <c r="O49" s="20"/>
      <c r="P49" s="20"/>
      <c r="Q49" s="20"/>
      <c r="R49" s="20"/>
    </row>
    <row r="50" ht="15.75" customHeight="1">
      <c r="A50" s="20"/>
      <c r="B50" s="20"/>
      <c r="C50" s="20"/>
      <c r="D50" s="20"/>
      <c r="E50" s="20"/>
      <c r="F50" s="20"/>
      <c r="G50" s="20"/>
      <c r="H50" s="20"/>
      <c r="I50" s="20"/>
      <c r="J50" s="20"/>
      <c r="K50" s="20"/>
      <c r="L50" s="20"/>
      <c r="M50" s="20"/>
      <c r="N50" s="20"/>
      <c r="O50" s="20"/>
      <c r="P50" s="20"/>
      <c r="Q50" s="20"/>
      <c r="R50" s="20"/>
    </row>
    <row r="51" ht="15.75" customHeight="1">
      <c r="I51" s="21"/>
      <c r="M51" s="21"/>
      <c r="P51" s="21"/>
    </row>
    <row r="52" ht="15.75" customHeight="1">
      <c r="I52" s="21"/>
      <c r="M52" s="21"/>
      <c r="P52" s="21"/>
    </row>
    <row r="53" ht="15.75" customHeight="1">
      <c r="I53" s="21"/>
      <c r="M53" s="21"/>
      <c r="P53" s="21"/>
    </row>
    <row r="54" ht="15.75" customHeight="1">
      <c r="I54" s="21"/>
      <c r="M54" s="21"/>
      <c r="P54" s="21"/>
    </row>
    <row r="55" ht="15.75" customHeight="1">
      <c r="I55" s="21"/>
      <c r="M55" s="21"/>
      <c r="P55" s="21"/>
    </row>
    <row r="56" ht="15.75" customHeight="1">
      <c r="I56" s="21"/>
      <c r="M56" s="21"/>
      <c r="P56" s="21"/>
    </row>
    <row r="57" ht="15.75" customHeight="1">
      <c r="I57" s="21"/>
      <c r="M57" s="21"/>
      <c r="P57" s="21"/>
    </row>
    <row r="58" ht="15.75" customHeight="1">
      <c r="I58" s="21"/>
      <c r="M58" s="21"/>
      <c r="P58" s="21"/>
    </row>
    <row r="59" ht="15.75" customHeight="1">
      <c r="I59" s="21"/>
      <c r="M59" s="21"/>
      <c r="P59" s="21"/>
    </row>
    <row r="60" ht="15.75" customHeight="1">
      <c r="I60" s="21"/>
      <c r="M60" s="21"/>
      <c r="P60" s="21"/>
    </row>
    <row r="61" ht="15.75" customHeight="1">
      <c r="I61" s="21"/>
      <c r="M61" s="21"/>
      <c r="P61" s="21"/>
    </row>
    <row r="62" ht="15.75" customHeight="1">
      <c r="I62" s="21"/>
      <c r="M62" s="21"/>
      <c r="P62" s="21"/>
    </row>
    <row r="63" ht="15.75" customHeight="1">
      <c r="I63" s="21"/>
      <c r="M63" s="21"/>
      <c r="P63" s="21"/>
    </row>
    <row r="64" ht="15.75" customHeight="1">
      <c r="I64" s="21"/>
      <c r="M64" s="21"/>
      <c r="P64" s="21"/>
    </row>
    <row r="65" ht="15.75" customHeight="1">
      <c r="I65" s="21"/>
      <c r="M65" s="21"/>
      <c r="P65" s="21"/>
    </row>
    <row r="66" ht="15.75" customHeight="1">
      <c r="I66" s="21"/>
      <c r="M66" s="21"/>
      <c r="P66" s="21"/>
    </row>
    <row r="67" ht="15.75" customHeight="1">
      <c r="I67" s="21"/>
      <c r="M67" s="21"/>
      <c r="P67" s="21"/>
    </row>
    <row r="68" ht="15.75" customHeight="1">
      <c r="I68" s="21"/>
      <c r="M68" s="21"/>
      <c r="P68" s="21"/>
    </row>
    <row r="69" ht="15.75" customHeight="1">
      <c r="I69" s="21"/>
      <c r="M69" s="21"/>
      <c r="P69" s="21"/>
    </row>
    <row r="70" ht="15.75" customHeight="1">
      <c r="I70" s="21"/>
      <c r="M70" s="21"/>
      <c r="P70" s="21"/>
    </row>
    <row r="71" ht="15.75" customHeight="1">
      <c r="I71" s="21"/>
      <c r="M71" s="21"/>
      <c r="P71" s="21"/>
    </row>
    <row r="72" ht="15.75" customHeight="1">
      <c r="I72" s="21"/>
      <c r="M72" s="21"/>
      <c r="P72" s="21"/>
    </row>
    <row r="73" ht="15.75" customHeight="1">
      <c r="I73" s="21"/>
      <c r="M73" s="21"/>
      <c r="P73" s="21"/>
    </row>
    <row r="74" ht="15.75" customHeight="1">
      <c r="I74" s="21"/>
      <c r="M74" s="21"/>
      <c r="P74" s="21"/>
    </row>
    <row r="75" ht="15.75" customHeight="1">
      <c r="I75" s="21"/>
      <c r="M75" s="21"/>
      <c r="P75" s="21"/>
    </row>
    <row r="76" ht="15.75" customHeight="1">
      <c r="I76" s="21"/>
      <c r="M76" s="21"/>
      <c r="P76" s="21"/>
    </row>
    <row r="77" ht="15.75" customHeight="1">
      <c r="I77" s="21"/>
      <c r="M77" s="21"/>
      <c r="P77" s="21"/>
    </row>
    <row r="78" ht="15.75" customHeight="1">
      <c r="I78" s="21"/>
      <c r="M78" s="21"/>
      <c r="P78" s="21"/>
    </row>
    <row r="79" ht="15.75" customHeight="1">
      <c r="I79" s="21"/>
      <c r="M79" s="21"/>
      <c r="P79" s="21"/>
    </row>
    <row r="80" ht="15.75" customHeight="1">
      <c r="I80" s="21"/>
      <c r="M80" s="21"/>
      <c r="P80" s="21"/>
    </row>
    <row r="81" ht="15.75" customHeight="1">
      <c r="I81" s="21"/>
      <c r="M81" s="21"/>
      <c r="P81" s="21"/>
    </row>
    <row r="82" ht="15.75" customHeight="1">
      <c r="I82" s="21"/>
      <c r="M82" s="21"/>
      <c r="P82" s="21"/>
    </row>
    <row r="83" ht="15.75" customHeight="1">
      <c r="I83" s="21"/>
      <c r="M83" s="21"/>
      <c r="P83" s="21"/>
    </row>
    <row r="84" ht="15.75" customHeight="1">
      <c r="I84" s="21"/>
      <c r="M84" s="21"/>
      <c r="P84" s="21"/>
    </row>
    <row r="85" ht="15.75" customHeight="1">
      <c r="I85" s="21"/>
      <c r="M85" s="21"/>
      <c r="P85" s="21"/>
    </row>
    <row r="86" ht="15.75" customHeight="1">
      <c r="I86" s="21"/>
      <c r="M86" s="21"/>
      <c r="P86" s="21"/>
    </row>
    <row r="87" ht="15.75" customHeight="1">
      <c r="I87" s="21"/>
      <c r="M87" s="21"/>
      <c r="P87" s="21"/>
    </row>
    <row r="88" ht="15.75" customHeight="1">
      <c r="I88" s="21"/>
      <c r="M88" s="21"/>
      <c r="P88" s="21"/>
    </row>
    <row r="89" ht="15.75" customHeight="1">
      <c r="I89" s="21"/>
      <c r="M89" s="21"/>
      <c r="P89" s="21"/>
    </row>
    <row r="90" ht="15.75" customHeight="1">
      <c r="I90" s="21"/>
      <c r="M90" s="21"/>
      <c r="P90" s="21"/>
    </row>
    <row r="91" ht="15.75" customHeight="1">
      <c r="I91" s="21"/>
      <c r="M91" s="21"/>
      <c r="P91" s="21"/>
    </row>
    <row r="92" ht="15.75" customHeight="1">
      <c r="I92" s="21"/>
      <c r="M92" s="21"/>
      <c r="P92" s="21"/>
    </row>
    <row r="93" ht="15.75" customHeight="1">
      <c r="I93" s="21"/>
      <c r="M93" s="21"/>
      <c r="P93" s="21"/>
    </row>
    <row r="94" ht="15.75" customHeight="1">
      <c r="I94" s="21"/>
      <c r="M94" s="21"/>
      <c r="P94" s="21"/>
    </row>
    <row r="95" ht="15.75" customHeight="1">
      <c r="I95" s="21"/>
      <c r="M95" s="21"/>
      <c r="P95" s="21"/>
    </row>
    <row r="96" ht="15.75" customHeight="1">
      <c r="I96" s="21"/>
      <c r="M96" s="21"/>
      <c r="P96" s="21"/>
    </row>
    <row r="97" ht="15.75" customHeight="1">
      <c r="I97" s="21"/>
      <c r="M97" s="21"/>
      <c r="P97" s="21"/>
    </row>
    <row r="98" ht="15.75" customHeight="1">
      <c r="I98" s="21"/>
      <c r="M98" s="21"/>
      <c r="P98" s="21"/>
    </row>
    <row r="99" ht="15.75" customHeight="1">
      <c r="I99" s="21"/>
      <c r="M99" s="21"/>
      <c r="P99" s="21"/>
    </row>
    <row r="100" ht="15.75" customHeight="1">
      <c r="I100" s="21"/>
      <c r="M100" s="21"/>
      <c r="P100" s="2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2:I100">
      <formula1>"Public,Internal,Confidential,Restricted,Secrets/Credentials"</formula1>
    </dataValidation>
    <dataValidation type="list" allowBlank="1" sqref="M2:M100">
      <formula1>"Low,Medium,High,Critical"</formula1>
    </dataValidation>
    <dataValidation type="list" allowBlank="1" sqref="P2:P100">
      <formula1>"Not Started,Planned,Partial,Implemented,Implemented &amp; Tested,Automated &amp; Monitored,N/A"</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3" width="15.0"/>
    <col customWidth="1" min="4" max="5" width="18.0"/>
    <col customWidth="1" min="6" max="6" width="22.0"/>
    <col customWidth="1" min="7" max="8" width="45.0"/>
    <col customWidth="1" min="9" max="26" width="8.63"/>
  </cols>
  <sheetData>
    <row r="1" ht="31.5" customHeight="1">
      <c r="A1" s="18" t="s">
        <v>583</v>
      </c>
      <c r="B1" s="18" t="s">
        <v>584</v>
      </c>
      <c r="C1" s="18" t="s">
        <v>564</v>
      </c>
      <c r="D1" s="18" t="s">
        <v>585</v>
      </c>
      <c r="E1" s="18" t="s">
        <v>586</v>
      </c>
      <c r="F1" s="18" t="s">
        <v>587</v>
      </c>
      <c r="G1" s="18" t="s">
        <v>588</v>
      </c>
      <c r="H1" s="18" t="s">
        <v>84</v>
      </c>
    </row>
    <row r="2">
      <c r="A2" s="20" t="s">
        <v>589</v>
      </c>
      <c r="B2" s="20" t="s">
        <v>590</v>
      </c>
      <c r="C2" s="20" t="s">
        <v>590</v>
      </c>
      <c r="D2" s="20" t="s">
        <v>591</v>
      </c>
      <c r="E2" s="20" t="s">
        <v>592</v>
      </c>
      <c r="F2" s="20" t="s">
        <v>592</v>
      </c>
      <c r="G2" s="20" t="s">
        <v>593</v>
      </c>
      <c r="H2" s="20" t="s">
        <v>594</v>
      </c>
    </row>
    <row r="3">
      <c r="A3" s="20" t="s">
        <v>595</v>
      </c>
      <c r="B3" s="20" t="s">
        <v>590</v>
      </c>
      <c r="C3" s="20" t="s">
        <v>590</v>
      </c>
      <c r="D3" s="20" t="s">
        <v>596</v>
      </c>
      <c r="E3" s="20" t="s">
        <v>597</v>
      </c>
      <c r="F3" s="20" t="s">
        <v>592</v>
      </c>
      <c r="G3" s="20" t="s">
        <v>598</v>
      </c>
      <c r="H3" s="20" t="s">
        <v>599</v>
      </c>
    </row>
    <row r="4">
      <c r="A4" s="20" t="s">
        <v>600</v>
      </c>
      <c r="B4" s="20" t="s">
        <v>590</v>
      </c>
      <c r="C4" s="20" t="s">
        <v>590</v>
      </c>
      <c r="D4" s="20" t="s">
        <v>601</v>
      </c>
      <c r="E4" s="20" t="s">
        <v>597</v>
      </c>
      <c r="F4" s="20" t="s">
        <v>592</v>
      </c>
      <c r="G4" s="20" t="s">
        <v>602</v>
      </c>
      <c r="H4" s="20" t="s">
        <v>603</v>
      </c>
    </row>
    <row r="5">
      <c r="A5" s="20" t="s">
        <v>604</v>
      </c>
      <c r="B5" s="20" t="s">
        <v>590</v>
      </c>
      <c r="C5" s="20" t="s">
        <v>590</v>
      </c>
      <c r="D5" s="20" t="s">
        <v>591</v>
      </c>
      <c r="E5" s="20" t="s">
        <v>592</v>
      </c>
      <c r="F5" s="20" t="s">
        <v>592</v>
      </c>
      <c r="G5" s="20" t="s">
        <v>605</v>
      </c>
      <c r="H5" s="20" t="s">
        <v>606</v>
      </c>
    </row>
    <row r="6">
      <c r="A6" s="20" t="s">
        <v>607</v>
      </c>
      <c r="B6" s="20" t="s">
        <v>590</v>
      </c>
      <c r="C6" s="20" t="s">
        <v>596</v>
      </c>
      <c r="D6" s="20" t="s">
        <v>608</v>
      </c>
      <c r="E6" s="20" t="s">
        <v>597</v>
      </c>
      <c r="F6" s="20" t="s">
        <v>592</v>
      </c>
      <c r="G6" s="20" t="s">
        <v>609</v>
      </c>
      <c r="H6" s="20" t="s">
        <v>610</v>
      </c>
    </row>
    <row r="7">
      <c r="A7" s="20" t="s">
        <v>611</v>
      </c>
      <c r="B7" s="20" t="s">
        <v>590</v>
      </c>
      <c r="C7" s="20" t="s">
        <v>590</v>
      </c>
      <c r="D7" s="20" t="s">
        <v>612</v>
      </c>
      <c r="E7" s="20" t="s">
        <v>597</v>
      </c>
      <c r="F7" s="20" t="s">
        <v>592</v>
      </c>
      <c r="G7" s="20" t="s">
        <v>613</v>
      </c>
      <c r="H7" s="20" t="s">
        <v>614</v>
      </c>
    </row>
    <row r="8">
      <c r="A8" s="20" t="s">
        <v>615</v>
      </c>
      <c r="B8" s="20" t="s">
        <v>590</v>
      </c>
      <c r="C8" s="20" t="s">
        <v>591</v>
      </c>
      <c r="D8" s="20" t="s">
        <v>616</v>
      </c>
      <c r="E8" s="20" t="s">
        <v>597</v>
      </c>
      <c r="F8" s="20" t="s">
        <v>592</v>
      </c>
      <c r="G8" s="20" t="s">
        <v>617</v>
      </c>
      <c r="H8" s="20" t="s">
        <v>618</v>
      </c>
    </row>
    <row r="9">
      <c r="A9" s="20" t="s">
        <v>619</v>
      </c>
      <c r="B9" s="20" t="s">
        <v>592</v>
      </c>
      <c r="C9" s="20" t="s">
        <v>597</v>
      </c>
      <c r="D9" s="20" t="s">
        <v>597</v>
      </c>
      <c r="E9" s="20" t="s">
        <v>592</v>
      </c>
      <c r="F9" s="20" t="s">
        <v>592</v>
      </c>
      <c r="G9" s="20" t="s">
        <v>620</v>
      </c>
      <c r="H9" s="20" t="s">
        <v>621</v>
      </c>
    </row>
    <row r="10">
      <c r="A10" s="8"/>
      <c r="B10" s="8"/>
      <c r="C10" s="8"/>
      <c r="D10" s="8"/>
      <c r="E10" s="8"/>
      <c r="F10" s="8"/>
      <c r="G10" s="8"/>
      <c r="H10" s="8"/>
    </row>
    <row r="11">
      <c r="A11" s="8"/>
      <c r="B11" s="8"/>
      <c r="C11" s="8"/>
      <c r="D11" s="8"/>
      <c r="E11" s="8"/>
      <c r="F11" s="8"/>
      <c r="G11" s="8"/>
      <c r="H11" s="8"/>
    </row>
    <row r="12">
      <c r="A12" s="8"/>
      <c r="B12" s="8"/>
      <c r="C12" s="8"/>
      <c r="D12" s="8"/>
      <c r="E12" s="8"/>
      <c r="F12" s="8"/>
      <c r="G12" s="8"/>
      <c r="H12" s="8"/>
    </row>
    <row r="13">
      <c r="A13" s="8"/>
      <c r="B13" s="8"/>
      <c r="C13" s="8"/>
      <c r="D13" s="8"/>
      <c r="E13" s="8"/>
      <c r="F13" s="8"/>
      <c r="G13" s="8"/>
      <c r="H13" s="8"/>
    </row>
    <row r="14">
      <c r="A14" s="8"/>
      <c r="B14" s="8"/>
      <c r="C14" s="8"/>
      <c r="D14" s="8"/>
      <c r="E14" s="8"/>
      <c r="F14" s="8"/>
      <c r="G14" s="8"/>
      <c r="H14" s="8"/>
    </row>
    <row r="15">
      <c r="A15" s="8"/>
      <c r="B15" s="8"/>
      <c r="C15" s="8"/>
      <c r="D15" s="8"/>
      <c r="E15" s="8"/>
      <c r="F15" s="8"/>
      <c r="G15" s="8"/>
      <c r="H15" s="8"/>
    </row>
    <row r="16">
      <c r="A16" s="8"/>
      <c r="B16" s="8"/>
      <c r="C16" s="8"/>
      <c r="D16" s="8"/>
      <c r="E16" s="8"/>
      <c r="F16" s="8"/>
      <c r="G16" s="8"/>
      <c r="H16" s="8"/>
    </row>
    <row r="17">
      <c r="A17" s="8"/>
      <c r="B17" s="8"/>
      <c r="C17" s="8"/>
      <c r="D17" s="8"/>
      <c r="E17" s="8"/>
      <c r="F17" s="8"/>
      <c r="G17" s="8"/>
      <c r="H17" s="8"/>
    </row>
    <row r="18">
      <c r="A18" s="8"/>
      <c r="B18" s="8"/>
      <c r="C18" s="8"/>
      <c r="D18" s="8"/>
      <c r="E18" s="8"/>
      <c r="F18" s="8"/>
      <c r="G18" s="8"/>
      <c r="H18" s="8"/>
    </row>
    <row r="19">
      <c r="A19" s="8"/>
      <c r="B19" s="8"/>
      <c r="C19" s="8"/>
      <c r="D19" s="8"/>
      <c r="E19" s="8"/>
      <c r="F19" s="8"/>
      <c r="G19" s="8"/>
      <c r="H19" s="8"/>
    </row>
    <row r="20">
      <c r="A20" s="8"/>
      <c r="B20" s="8"/>
      <c r="C20" s="8"/>
      <c r="D20" s="8"/>
      <c r="E20" s="8"/>
      <c r="F20" s="8"/>
      <c r="G20" s="8"/>
      <c r="H20" s="8"/>
    </row>
    <row r="21" ht="15.75" customHeight="1">
      <c r="A21" s="8"/>
      <c r="B21" s="8"/>
      <c r="C21" s="8"/>
      <c r="D21" s="8"/>
      <c r="E21" s="8"/>
      <c r="F21" s="8"/>
      <c r="G21" s="8"/>
      <c r="H21" s="8"/>
    </row>
    <row r="22" ht="15.75" customHeight="1">
      <c r="A22" s="8"/>
      <c r="B22" s="8"/>
      <c r="C22" s="8"/>
      <c r="D22" s="8"/>
      <c r="E22" s="8"/>
      <c r="F22" s="8"/>
      <c r="G22" s="8"/>
      <c r="H22" s="8"/>
    </row>
    <row r="23" ht="15.75" customHeight="1">
      <c r="A23" s="8"/>
      <c r="B23" s="8"/>
      <c r="C23" s="8"/>
      <c r="D23" s="8"/>
      <c r="E23" s="8"/>
      <c r="F23" s="8"/>
      <c r="G23" s="8"/>
      <c r="H23" s="8"/>
    </row>
    <row r="24" ht="15.75" customHeight="1">
      <c r="A24" s="8"/>
      <c r="B24" s="8"/>
      <c r="C24" s="8"/>
      <c r="D24" s="8"/>
      <c r="E24" s="8"/>
      <c r="F24" s="8"/>
      <c r="G24" s="8"/>
      <c r="H24" s="8"/>
    </row>
    <row r="25" ht="15.75" customHeight="1">
      <c r="A25" s="8"/>
      <c r="B25" s="8"/>
      <c r="C25" s="8"/>
      <c r="D25" s="8"/>
      <c r="E25" s="8"/>
      <c r="F25" s="8"/>
      <c r="G25" s="8"/>
      <c r="H25" s="8"/>
    </row>
    <row r="26" ht="15.75" customHeight="1">
      <c r="A26" s="8"/>
      <c r="B26" s="8"/>
      <c r="C26" s="8"/>
      <c r="D26" s="8"/>
      <c r="E26" s="8"/>
      <c r="F26" s="8"/>
      <c r="G26" s="8"/>
      <c r="H26" s="8"/>
    </row>
    <row r="27" ht="15.75" customHeight="1">
      <c r="A27" s="8"/>
      <c r="B27" s="8"/>
      <c r="C27" s="8"/>
      <c r="D27" s="8"/>
      <c r="E27" s="8"/>
      <c r="F27" s="8"/>
      <c r="G27" s="8"/>
      <c r="H27" s="8"/>
    </row>
    <row r="28" ht="15.75" customHeight="1">
      <c r="A28" s="8"/>
      <c r="B28" s="8"/>
      <c r="C28" s="8"/>
      <c r="D28" s="8"/>
      <c r="E28" s="8"/>
      <c r="F28" s="8"/>
      <c r="G28" s="8"/>
      <c r="H28" s="8"/>
    </row>
    <row r="29" ht="15.75" customHeight="1">
      <c r="A29" s="8"/>
      <c r="B29" s="8"/>
      <c r="C29" s="8"/>
      <c r="D29" s="8"/>
      <c r="E29" s="8"/>
      <c r="F29" s="8"/>
      <c r="G29" s="8"/>
      <c r="H29" s="8"/>
    </row>
    <row r="30" ht="15.75" customHeight="1">
      <c r="A30" s="8"/>
      <c r="B30" s="8"/>
      <c r="C30" s="8"/>
      <c r="D30" s="8"/>
      <c r="E30" s="8"/>
      <c r="F30" s="8"/>
      <c r="G30" s="8"/>
      <c r="H30" s="8"/>
    </row>
    <row r="31" ht="15.75" customHeight="1">
      <c r="A31" s="8"/>
      <c r="B31" s="8"/>
      <c r="C31" s="8"/>
      <c r="D31" s="8"/>
      <c r="E31" s="8"/>
      <c r="F31" s="8"/>
      <c r="G31" s="8"/>
      <c r="H31" s="8"/>
    </row>
    <row r="32" ht="15.75" customHeight="1">
      <c r="A32" s="8"/>
      <c r="B32" s="8"/>
      <c r="C32" s="8"/>
      <c r="D32" s="8"/>
      <c r="E32" s="8"/>
      <c r="F32" s="8"/>
      <c r="G32" s="8"/>
      <c r="H32" s="8"/>
    </row>
    <row r="33" ht="15.75" customHeight="1">
      <c r="A33" s="8"/>
      <c r="B33" s="8"/>
      <c r="C33" s="8"/>
      <c r="D33" s="8"/>
      <c r="E33" s="8"/>
      <c r="F33" s="8"/>
      <c r="G33" s="8"/>
      <c r="H33" s="8"/>
    </row>
    <row r="34" ht="15.75" customHeight="1">
      <c r="A34" s="8"/>
      <c r="B34" s="8"/>
      <c r="C34" s="8"/>
      <c r="D34" s="8"/>
      <c r="E34" s="8"/>
      <c r="F34" s="8"/>
      <c r="G34" s="8"/>
      <c r="H34" s="8"/>
    </row>
    <row r="35" ht="15.75" customHeight="1">
      <c r="A35" s="8"/>
      <c r="B35" s="8"/>
      <c r="C35" s="8"/>
      <c r="D35" s="8"/>
      <c r="E35" s="8"/>
      <c r="F35" s="8"/>
      <c r="G35" s="8"/>
      <c r="H35" s="8"/>
    </row>
    <row r="36" ht="15.75" customHeight="1">
      <c r="A36" s="8"/>
      <c r="B36" s="8"/>
      <c r="C36" s="8"/>
      <c r="D36" s="8"/>
      <c r="E36" s="8"/>
      <c r="F36" s="8"/>
      <c r="G36" s="8"/>
      <c r="H36" s="8"/>
    </row>
    <row r="37" ht="15.75" customHeight="1">
      <c r="A37" s="8"/>
      <c r="B37" s="8"/>
      <c r="C37" s="8"/>
      <c r="D37" s="8"/>
      <c r="E37" s="8"/>
      <c r="F37" s="8"/>
      <c r="G37" s="8"/>
      <c r="H37" s="8"/>
    </row>
    <row r="38" ht="15.75" customHeight="1">
      <c r="A38" s="8"/>
      <c r="B38" s="8"/>
      <c r="C38" s="8"/>
      <c r="D38" s="8"/>
      <c r="E38" s="8"/>
      <c r="F38" s="8"/>
      <c r="G38" s="8"/>
      <c r="H38" s="8"/>
    </row>
    <row r="39" ht="15.75" customHeight="1">
      <c r="A39" s="8"/>
      <c r="B39" s="8"/>
      <c r="C39" s="8"/>
      <c r="D39" s="8"/>
      <c r="E39" s="8"/>
      <c r="F39" s="8"/>
      <c r="G39" s="8"/>
      <c r="H39" s="8"/>
    </row>
    <row r="40" ht="15.75" customHeight="1">
      <c r="A40" s="8"/>
      <c r="B40" s="8"/>
      <c r="C40" s="8"/>
      <c r="D40" s="8"/>
      <c r="E40" s="8"/>
      <c r="F40" s="8"/>
      <c r="G40" s="8"/>
      <c r="H40" s="8"/>
    </row>
    <row r="41" ht="15.75" customHeight="1">
      <c r="A41" s="8"/>
      <c r="B41" s="8"/>
      <c r="C41" s="8"/>
      <c r="D41" s="8"/>
      <c r="E41" s="8"/>
      <c r="F41" s="8"/>
      <c r="G41" s="8"/>
      <c r="H41" s="8"/>
    </row>
    <row r="42" ht="15.75" customHeight="1">
      <c r="A42" s="8"/>
      <c r="B42" s="8"/>
      <c r="C42" s="8"/>
      <c r="D42" s="8"/>
      <c r="E42" s="8"/>
      <c r="F42" s="8"/>
      <c r="G42" s="8"/>
      <c r="H42" s="8"/>
    </row>
    <row r="43" ht="15.75" customHeight="1">
      <c r="A43" s="8"/>
      <c r="B43" s="8"/>
      <c r="C43" s="8"/>
      <c r="D43" s="8"/>
      <c r="E43" s="8"/>
      <c r="F43" s="8"/>
      <c r="G43" s="8"/>
      <c r="H43" s="8"/>
    </row>
    <row r="44" ht="15.75" customHeight="1">
      <c r="A44" s="8"/>
      <c r="B44" s="8"/>
      <c r="C44" s="8"/>
      <c r="D44" s="8"/>
      <c r="E44" s="8"/>
      <c r="F44" s="8"/>
      <c r="G44" s="8"/>
      <c r="H44" s="8"/>
    </row>
    <row r="45" ht="15.75" customHeight="1">
      <c r="A45" s="8"/>
      <c r="B45" s="8"/>
      <c r="C45" s="8"/>
      <c r="D45" s="8"/>
      <c r="E45" s="8"/>
      <c r="F45" s="8"/>
      <c r="G45" s="8"/>
      <c r="H45" s="8"/>
    </row>
    <row r="46" ht="15.75" customHeight="1">
      <c r="A46" s="8"/>
      <c r="B46" s="8"/>
      <c r="C46" s="8"/>
      <c r="D46" s="8"/>
      <c r="E46" s="8"/>
      <c r="F46" s="8"/>
      <c r="G46" s="8"/>
      <c r="H46" s="8"/>
    </row>
    <row r="47" ht="15.75" customHeight="1">
      <c r="A47" s="8"/>
      <c r="B47" s="8"/>
      <c r="C47" s="8"/>
      <c r="D47" s="8"/>
      <c r="E47" s="8"/>
      <c r="F47" s="8"/>
      <c r="G47" s="8"/>
      <c r="H47" s="8"/>
    </row>
    <row r="48" ht="15.75" customHeight="1">
      <c r="A48" s="8"/>
      <c r="B48" s="8"/>
      <c r="C48" s="8"/>
      <c r="D48" s="8"/>
      <c r="E48" s="8"/>
      <c r="F48" s="8"/>
      <c r="G48" s="8"/>
      <c r="H48" s="8"/>
    </row>
    <row r="49" ht="15.75" customHeight="1">
      <c r="A49" s="8"/>
      <c r="B49" s="8"/>
      <c r="C49" s="8"/>
      <c r="D49" s="8"/>
      <c r="E49" s="8"/>
      <c r="F49" s="8"/>
      <c r="G49" s="8"/>
      <c r="H49" s="8"/>
    </row>
    <row r="50" ht="15.75" customHeight="1">
      <c r="A50" s="8"/>
      <c r="B50" s="8"/>
      <c r="C50" s="8"/>
      <c r="D50" s="8"/>
      <c r="E50" s="8"/>
      <c r="F50" s="8"/>
      <c r="G50" s="8"/>
      <c r="H50" s="8"/>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32.0"/>
    <col customWidth="1" min="3" max="3" width="35.0"/>
    <col customWidth="1" min="4" max="4" width="55.0"/>
    <col customWidth="1" min="5" max="5" width="12.0"/>
    <col customWidth="1" min="6" max="6" width="32.0"/>
    <col customWidth="1" min="7" max="7" width="25.0"/>
    <col customWidth="1" min="8" max="8" width="28.0"/>
    <col customWidth="1" min="9" max="9" width="18.0"/>
    <col customWidth="1" min="10" max="10" width="22.0"/>
    <col customWidth="1" min="11" max="11" width="35.0"/>
    <col customWidth="1" min="12" max="26" width="8.63"/>
  </cols>
  <sheetData>
    <row r="1" ht="31.5" customHeight="1">
      <c r="A1" s="18" t="s">
        <v>622</v>
      </c>
      <c r="B1" s="18" t="s">
        <v>623</v>
      </c>
      <c r="C1" s="18" t="s">
        <v>624</v>
      </c>
      <c r="D1" s="18" t="s">
        <v>625</v>
      </c>
      <c r="E1" s="18" t="s">
        <v>626</v>
      </c>
      <c r="F1" s="18" t="s">
        <v>627</v>
      </c>
      <c r="G1" s="18" t="s">
        <v>628</v>
      </c>
      <c r="H1" s="18" t="s">
        <v>79</v>
      </c>
      <c r="I1" s="18" t="s">
        <v>37</v>
      </c>
      <c r="J1" s="18" t="s">
        <v>81</v>
      </c>
      <c r="K1" s="18" t="s">
        <v>84</v>
      </c>
    </row>
    <row r="2">
      <c r="A2" s="20" t="s">
        <v>629</v>
      </c>
      <c r="B2" s="20" t="s">
        <v>630</v>
      </c>
      <c r="C2" s="20" t="s">
        <v>631</v>
      </c>
      <c r="D2" s="20" t="s">
        <v>632</v>
      </c>
      <c r="E2" s="20" t="s">
        <v>93</v>
      </c>
      <c r="F2" s="20" t="s">
        <v>633</v>
      </c>
      <c r="G2" s="20" t="s">
        <v>634</v>
      </c>
      <c r="H2" s="20" t="s">
        <v>425</v>
      </c>
      <c r="I2" s="20" t="s">
        <v>42</v>
      </c>
      <c r="J2" s="20" t="s">
        <v>427</v>
      </c>
      <c r="K2" s="20" t="s">
        <v>635</v>
      </c>
    </row>
    <row r="3">
      <c r="A3" s="20" t="s">
        <v>636</v>
      </c>
      <c r="B3" s="20" t="s">
        <v>637</v>
      </c>
      <c r="C3" s="20" t="s">
        <v>638</v>
      </c>
      <c r="D3" s="20" t="s">
        <v>639</v>
      </c>
      <c r="E3" s="20" t="s">
        <v>93</v>
      </c>
      <c r="F3" s="20" t="s">
        <v>640</v>
      </c>
      <c r="G3" s="20" t="s">
        <v>641</v>
      </c>
      <c r="H3" s="20" t="s">
        <v>196</v>
      </c>
      <c r="I3" s="20" t="s">
        <v>42</v>
      </c>
      <c r="J3" s="20" t="s">
        <v>198</v>
      </c>
      <c r="K3" s="20" t="s">
        <v>642</v>
      </c>
    </row>
    <row r="4">
      <c r="A4" s="20" t="s">
        <v>643</v>
      </c>
      <c r="B4" s="20" t="s">
        <v>644</v>
      </c>
      <c r="C4" s="20" t="s">
        <v>645</v>
      </c>
      <c r="D4" s="20" t="s">
        <v>646</v>
      </c>
      <c r="E4" s="20" t="s">
        <v>110</v>
      </c>
      <c r="F4" s="20" t="s">
        <v>647</v>
      </c>
      <c r="G4" s="20" t="s">
        <v>648</v>
      </c>
      <c r="H4" s="20" t="s">
        <v>160</v>
      </c>
      <c r="I4" s="20" t="s">
        <v>42</v>
      </c>
      <c r="J4" s="20" t="s">
        <v>257</v>
      </c>
      <c r="K4" s="20" t="s">
        <v>649</v>
      </c>
    </row>
    <row r="5">
      <c r="A5" s="20" t="s">
        <v>650</v>
      </c>
      <c r="B5" s="20" t="s">
        <v>651</v>
      </c>
      <c r="C5" s="20" t="s">
        <v>652</v>
      </c>
      <c r="D5" s="20" t="s">
        <v>653</v>
      </c>
      <c r="E5" s="20" t="s">
        <v>93</v>
      </c>
      <c r="F5" s="20" t="s">
        <v>654</v>
      </c>
      <c r="G5" s="20" t="s">
        <v>655</v>
      </c>
      <c r="H5" s="20" t="s">
        <v>656</v>
      </c>
      <c r="I5" s="20" t="s">
        <v>42</v>
      </c>
      <c r="J5" s="20" t="s">
        <v>245</v>
      </c>
      <c r="K5" s="20" t="s">
        <v>657</v>
      </c>
    </row>
    <row r="6">
      <c r="A6" s="20" t="s">
        <v>658</v>
      </c>
      <c r="B6" s="20" t="s">
        <v>659</v>
      </c>
      <c r="C6" s="20" t="s">
        <v>660</v>
      </c>
      <c r="D6" s="20" t="s">
        <v>661</v>
      </c>
      <c r="E6" s="20" t="s">
        <v>127</v>
      </c>
      <c r="F6" s="20" t="s">
        <v>662</v>
      </c>
      <c r="G6" s="20" t="s">
        <v>663</v>
      </c>
      <c r="H6" s="20" t="s">
        <v>275</v>
      </c>
      <c r="I6" s="20" t="s">
        <v>42</v>
      </c>
      <c r="J6" s="20" t="s">
        <v>664</v>
      </c>
      <c r="K6" s="20" t="s">
        <v>665</v>
      </c>
    </row>
    <row r="7">
      <c r="A7" s="20" t="s">
        <v>666</v>
      </c>
      <c r="B7" s="20" t="s">
        <v>667</v>
      </c>
      <c r="C7" s="20" t="s">
        <v>668</v>
      </c>
      <c r="D7" s="20" t="s">
        <v>669</v>
      </c>
      <c r="E7" s="20" t="s">
        <v>93</v>
      </c>
      <c r="F7" s="20" t="s">
        <v>670</v>
      </c>
      <c r="G7" s="20" t="s">
        <v>671</v>
      </c>
      <c r="H7" s="20" t="s">
        <v>672</v>
      </c>
      <c r="I7" s="20" t="s">
        <v>42</v>
      </c>
      <c r="J7" s="20" t="s">
        <v>270</v>
      </c>
      <c r="K7" s="20" t="s">
        <v>673</v>
      </c>
    </row>
    <row r="8">
      <c r="A8" s="20" t="s">
        <v>674</v>
      </c>
      <c r="B8" s="20" t="s">
        <v>675</v>
      </c>
      <c r="C8" s="20" t="s">
        <v>676</v>
      </c>
      <c r="D8" s="20" t="s">
        <v>677</v>
      </c>
      <c r="E8" s="20" t="s">
        <v>93</v>
      </c>
      <c r="F8" s="20" t="s">
        <v>678</v>
      </c>
      <c r="G8" s="20" t="s">
        <v>679</v>
      </c>
      <c r="H8" s="20" t="s">
        <v>680</v>
      </c>
      <c r="I8" s="20" t="s">
        <v>42</v>
      </c>
      <c r="J8" s="20" t="s">
        <v>681</v>
      </c>
      <c r="K8" s="20" t="s">
        <v>682</v>
      </c>
    </row>
    <row r="9">
      <c r="A9" s="20" t="s">
        <v>683</v>
      </c>
      <c r="B9" s="20" t="s">
        <v>684</v>
      </c>
      <c r="C9" s="20" t="s">
        <v>685</v>
      </c>
      <c r="D9" s="20" t="s">
        <v>686</v>
      </c>
      <c r="E9" s="20" t="s">
        <v>127</v>
      </c>
      <c r="F9" s="20" t="s">
        <v>687</v>
      </c>
      <c r="G9" s="20" t="s">
        <v>688</v>
      </c>
      <c r="H9" s="20" t="s">
        <v>689</v>
      </c>
      <c r="I9" s="20" t="s">
        <v>42</v>
      </c>
      <c r="J9" s="20" t="s">
        <v>270</v>
      </c>
      <c r="K9" s="20" t="s">
        <v>690</v>
      </c>
    </row>
    <row r="10">
      <c r="A10" s="20" t="s">
        <v>691</v>
      </c>
      <c r="B10" s="20" t="s">
        <v>692</v>
      </c>
      <c r="C10" s="20" t="s">
        <v>693</v>
      </c>
      <c r="D10" s="20" t="s">
        <v>694</v>
      </c>
      <c r="E10" s="20" t="s">
        <v>110</v>
      </c>
      <c r="F10" s="20" t="s">
        <v>695</v>
      </c>
      <c r="G10" s="20" t="s">
        <v>696</v>
      </c>
      <c r="H10" s="20" t="s">
        <v>697</v>
      </c>
      <c r="I10" s="20" t="s">
        <v>42</v>
      </c>
      <c r="J10" s="20" t="s">
        <v>251</v>
      </c>
      <c r="K10" s="20" t="s">
        <v>698</v>
      </c>
    </row>
    <row r="11">
      <c r="A11" s="20" t="s">
        <v>699</v>
      </c>
      <c r="B11" s="20" t="s">
        <v>700</v>
      </c>
      <c r="C11" s="20" t="s">
        <v>701</v>
      </c>
      <c r="D11" s="20" t="s">
        <v>702</v>
      </c>
      <c r="E11" s="20" t="s">
        <v>110</v>
      </c>
      <c r="F11" s="20" t="s">
        <v>703</v>
      </c>
      <c r="G11" s="20" t="s">
        <v>704</v>
      </c>
      <c r="H11" s="20" t="s">
        <v>705</v>
      </c>
      <c r="I11" s="20" t="s">
        <v>42</v>
      </c>
      <c r="J11" s="20" t="s">
        <v>323</v>
      </c>
      <c r="K11" s="20" t="s">
        <v>706</v>
      </c>
    </row>
    <row r="12">
      <c r="A12" s="20"/>
      <c r="B12" s="20"/>
      <c r="C12" s="20"/>
      <c r="D12" s="20"/>
      <c r="E12" s="20"/>
      <c r="F12" s="20"/>
      <c r="G12" s="20"/>
      <c r="H12" s="20"/>
      <c r="I12" s="20"/>
      <c r="J12" s="20"/>
      <c r="K12" s="20"/>
    </row>
    <row r="13">
      <c r="A13" s="20"/>
      <c r="B13" s="20"/>
      <c r="C13" s="20"/>
      <c r="D13" s="20"/>
      <c r="E13" s="20"/>
      <c r="F13" s="20"/>
      <c r="G13" s="20"/>
      <c r="H13" s="20"/>
      <c r="I13" s="20"/>
      <c r="J13" s="20"/>
      <c r="K13" s="20"/>
    </row>
    <row r="14">
      <c r="A14" s="20"/>
      <c r="B14" s="20"/>
      <c r="C14" s="20"/>
      <c r="D14" s="20"/>
      <c r="E14" s="20"/>
      <c r="F14" s="20"/>
      <c r="G14" s="20"/>
      <c r="H14" s="20"/>
      <c r="I14" s="20"/>
      <c r="J14" s="20"/>
      <c r="K14" s="20"/>
    </row>
    <row r="15">
      <c r="A15" s="20"/>
      <c r="B15" s="20"/>
      <c r="C15" s="20"/>
      <c r="D15" s="20"/>
      <c r="E15" s="20"/>
      <c r="F15" s="20"/>
      <c r="G15" s="20"/>
      <c r="H15" s="20"/>
      <c r="I15" s="20"/>
      <c r="J15" s="20"/>
      <c r="K15" s="20"/>
    </row>
    <row r="16">
      <c r="A16" s="20"/>
      <c r="B16" s="20"/>
      <c r="C16" s="20"/>
      <c r="D16" s="20"/>
      <c r="E16" s="20"/>
      <c r="F16" s="20"/>
      <c r="G16" s="20"/>
      <c r="H16" s="20"/>
      <c r="I16" s="20"/>
      <c r="J16" s="20"/>
      <c r="K16" s="20"/>
    </row>
    <row r="17">
      <c r="A17" s="20"/>
      <c r="B17" s="20"/>
      <c r="C17" s="20"/>
      <c r="D17" s="20"/>
      <c r="E17" s="20"/>
      <c r="F17" s="20"/>
      <c r="G17" s="20"/>
      <c r="H17" s="20"/>
      <c r="I17" s="20"/>
      <c r="J17" s="20"/>
      <c r="K17" s="20"/>
    </row>
    <row r="18">
      <c r="A18" s="20"/>
      <c r="B18" s="20"/>
      <c r="C18" s="20"/>
      <c r="D18" s="20"/>
      <c r="E18" s="20"/>
      <c r="F18" s="20"/>
      <c r="G18" s="20"/>
      <c r="H18" s="20"/>
      <c r="I18" s="20"/>
      <c r="J18" s="20"/>
      <c r="K18" s="20"/>
    </row>
    <row r="19">
      <c r="A19" s="20"/>
      <c r="B19" s="20"/>
      <c r="C19" s="20"/>
      <c r="D19" s="20"/>
      <c r="E19" s="20"/>
      <c r="F19" s="20"/>
      <c r="G19" s="20"/>
      <c r="H19" s="20"/>
      <c r="I19" s="20"/>
      <c r="J19" s="20"/>
      <c r="K19" s="20"/>
    </row>
    <row r="20">
      <c r="A20" s="20"/>
      <c r="B20" s="20"/>
      <c r="C20" s="20"/>
      <c r="D20" s="20"/>
      <c r="E20" s="20"/>
      <c r="F20" s="20"/>
      <c r="G20" s="20"/>
      <c r="H20" s="20"/>
      <c r="I20" s="20"/>
      <c r="J20" s="20"/>
      <c r="K20" s="20"/>
    </row>
    <row r="21" ht="15.75" customHeight="1">
      <c r="A21" s="20"/>
      <c r="B21" s="20"/>
      <c r="C21" s="20"/>
      <c r="D21" s="20"/>
      <c r="E21" s="20"/>
      <c r="F21" s="20"/>
      <c r="G21" s="20"/>
      <c r="H21" s="20"/>
      <c r="I21" s="20"/>
      <c r="J21" s="20"/>
      <c r="K21" s="20"/>
    </row>
    <row r="22" ht="15.75" customHeight="1">
      <c r="A22" s="20"/>
      <c r="B22" s="20"/>
      <c r="C22" s="20"/>
      <c r="D22" s="20"/>
      <c r="E22" s="20"/>
      <c r="F22" s="20"/>
      <c r="G22" s="20"/>
      <c r="H22" s="20"/>
      <c r="I22" s="20"/>
      <c r="J22" s="20"/>
      <c r="K22" s="20"/>
    </row>
    <row r="23" ht="15.75" customHeight="1">
      <c r="A23" s="20"/>
      <c r="B23" s="20"/>
      <c r="C23" s="20"/>
      <c r="D23" s="20"/>
      <c r="E23" s="20"/>
      <c r="F23" s="20"/>
      <c r="G23" s="20"/>
      <c r="H23" s="20"/>
      <c r="I23" s="20"/>
      <c r="J23" s="20"/>
      <c r="K23" s="20"/>
    </row>
    <row r="24" ht="15.75" customHeight="1">
      <c r="A24" s="20"/>
      <c r="B24" s="20"/>
      <c r="C24" s="20"/>
      <c r="D24" s="20"/>
      <c r="E24" s="20"/>
      <c r="F24" s="20"/>
      <c r="G24" s="20"/>
      <c r="H24" s="20"/>
      <c r="I24" s="20"/>
      <c r="J24" s="20"/>
      <c r="K24" s="20"/>
    </row>
    <row r="25" ht="15.75" customHeight="1">
      <c r="A25" s="20"/>
      <c r="B25" s="20"/>
      <c r="C25" s="20"/>
      <c r="D25" s="20"/>
      <c r="E25" s="20"/>
      <c r="F25" s="20"/>
      <c r="G25" s="20"/>
      <c r="H25" s="20"/>
      <c r="I25" s="20"/>
      <c r="J25" s="20"/>
      <c r="K25" s="20"/>
    </row>
    <row r="26" ht="15.75" customHeight="1">
      <c r="A26" s="20"/>
      <c r="B26" s="20"/>
      <c r="C26" s="20"/>
      <c r="D26" s="20"/>
      <c r="E26" s="20"/>
      <c r="F26" s="20"/>
      <c r="G26" s="20"/>
      <c r="H26" s="20"/>
      <c r="I26" s="20"/>
      <c r="J26" s="20"/>
      <c r="K26" s="20"/>
    </row>
    <row r="27" ht="15.75" customHeight="1">
      <c r="A27" s="20"/>
      <c r="B27" s="20"/>
      <c r="C27" s="20"/>
      <c r="D27" s="20"/>
      <c r="E27" s="20"/>
      <c r="F27" s="20"/>
      <c r="G27" s="20"/>
      <c r="H27" s="20"/>
      <c r="I27" s="20"/>
      <c r="J27" s="20"/>
      <c r="K27" s="20"/>
    </row>
    <row r="28" ht="15.75" customHeight="1">
      <c r="A28" s="20"/>
      <c r="B28" s="20"/>
      <c r="C28" s="20"/>
      <c r="D28" s="20"/>
      <c r="E28" s="20"/>
      <c r="F28" s="20"/>
      <c r="G28" s="20"/>
      <c r="H28" s="20"/>
      <c r="I28" s="20"/>
      <c r="J28" s="20"/>
      <c r="K28" s="20"/>
    </row>
    <row r="29" ht="15.75" customHeight="1">
      <c r="A29" s="20"/>
      <c r="B29" s="20"/>
      <c r="C29" s="20"/>
      <c r="D29" s="20"/>
      <c r="E29" s="20"/>
      <c r="F29" s="20"/>
      <c r="G29" s="20"/>
      <c r="H29" s="20"/>
      <c r="I29" s="20"/>
      <c r="J29" s="20"/>
      <c r="K29" s="20"/>
    </row>
    <row r="30" ht="15.75" customHeight="1">
      <c r="A30" s="20"/>
      <c r="B30" s="20"/>
      <c r="C30" s="20"/>
      <c r="D30" s="20"/>
      <c r="E30" s="20"/>
      <c r="F30" s="20"/>
      <c r="G30" s="20"/>
      <c r="H30" s="20"/>
      <c r="I30" s="20"/>
      <c r="J30" s="20"/>
      <c r="K30" s="20"/>
    </row>
    <row r="31" ht="15.75" customHeight="1">
      <c r="A31" s="20"/>
      <c r="B31" s="20"/>
      <c r="C31" s="20"/>
      <c r="D31" s="20"/>
      <c r="E31" s="20"/>
      <c r="F31" s="20"/>
      <c r="G31" s="20"/>
      <c r="H31" s="20"/>
      <c r="I31" s="20"/>
      <c r="J31" s="20"/>
      <c r="K31" s="20"/>
    </row>
    <row r="32" ht="15.75" customHeight="1">
      <c r="A32" s="20"/>
      <c r="B32" s="20"/>
      <c r="C32" s="20"/>
      <c r="D32" s="20"/>
      <c r="E32" s="20"/>
      <c r="F32" s="20"/>
      <c r="G32" s="20"/>
      <c r="H32" s="20"/>
      <c r="I32" s="20"/>
      <c r="J32" s="20"/>
      <c r="K32" s="20"/>
    </row>
    <row r="33" ht="15.75" customHeight="1">
      <c r="A33" s="20"/>
      <c r="B33" s="20"/>
      <c r="C33" s="20"/>
      <c r="D33" s="20"/>
      <c r="E33" s="20"/>
      <c r="F33" s="20"/>
      <c r="G33" s="20"/>
      <c r="H33" s="20"/>
      <c r="I33" s="20"/>
      <c r="J33" s="20"/>
      <c r="K33" s="20"/>
    </row>
    <row r="34" ht="15.75" customHeight="1">
      <c r="A34" s="20"/>
      <c r="B34" s="20"/>
      <c r="C34" s="20"/>
      <c r="D34" s="20"/>
      <c r="E34" s="20"/>
      <c r="F34" s="20"/>
      <c r="G34" s="20"/>
      <c r="H34" s="20"/>
      <c r="I34" s="20"/>
      <c r="J34" s="20"/>
      <c r="K34" s="20"/>
    </row>
    <row r="35" ht="15.75" customHeight="1">
      <c r="A35" s="20"/>
      <c r="B35" s="20"/>
      <c r="C35" s="20"/>
      <c r="D35" s="20"/>
      <c r="E35" s="20"/>
      <c r="F35" s="20"/>
      <c r="G35" s="20"/>
      <c r="H35" s="20"/>
      <c r="I35" s="20"/>
      <c r="J35" s="20"/>
      <c r="K35" s="20"/>
    </row>
    <row r="36" ht="15.75" customHeight="1">
      <c r="A36" s="20"/>
      <c r="B36" s="20"/>
      <c r="C36" s="20"/>
      <c r="D36" s="20"/>
      <c r="E36" s="20"/>
      <c r="F36" s="20"/>
      <c r="G36" s="20"/>
      <c r="H36" s="20"/>
      <c r="I36" s="20"/>
      <c r="J36" s="20"/>
      <c r="K36" s="20"/>
    </row>
    <row r="37" ht="15.75" customHeight="1">
      <c r="A37" s="20"/>
      <c r="B37" s="20"/>
      <c r="C37" s="20"/>
      <c r="D37" s="20"/>
      <c r="E37" s="20"/>
      <c r="F37" s="20"/>
      <c r="G37" s="20"/>
      <c r="H37" s="20"/>
      <c r="I37" s="20"/>
      <c r="J37" s="20"/>
      <c r="K37" s="20"/>
    </row>
    <row r="38" ht="15.75" customHeight="1">
      <c r="A38" s="20"/>
      <c r="B38" s="20"/>
      <c r="C38" s="20"/>
      <c r="D38" s="20"/>
      <c r="E38" s="20"/>
      <c r="F38" s="20"/>
      <c r="G38" s="20"/>
      <c r="H38" s="20"/>
      <c r="I38" s="20"/>
      <c r="J38" s="20"/>
      <c r="K38" s="20"/>
    </row>
    <row r="39" ht="15.75" customHeight="1">
      <c r="A39" s="20"/>
      <c r="B39" s="20"/>
      <c r="C39" s="20"/>
      <c r="D39" s="20"/>
      <c r="E39" s="20"/>
      <c r="F39" s="20"/>
      <c r="G39" s="20"/>
      <c r="H39" s="20"/>
      <c r="I39" s="20"/>
      <c r="J39" s="20"/>
      <c r="K39" s="20"/>
    </row>
    <row r="40" ht="15.75" customHeight="1">
      <c r="A40" s="20"/>
      <c r="B40" s="20"/>
      <c r="C40" s="20"/>
      <c r="D40" s="20"/>
      <c r="E40" s="20"/>
      <c r="F40" s="20"/>
      <c r="G40" s="20"/>
      <c r="H40" s="20"/>
      <c r="I40" s="20"/>
      <c r="J40" s="20"/>
      <c r="K40" s="20"/>
    </row>
    <row r="41" ht="15.75" customHeight="1">
      <c r="A41" s="20"/>
      <c r="B41" s="20"/>
      <c r="C41" s="20"/>
      <c r="D41" s="20"/>
      <c r="E41" s="20"/>
      <c r="F41" s="20"/>
      <c r="G41" s="20"/>
      <c r="H41" s="20"/>
      <c r="I41" s="20"/>
      <c r="J41" s="20"/>
      <c r="K41" s="20"/>
    </row>
    <row r="42" ht="15.75" customHeight="1">
      <c r="A42" s="20"/>
      <c r="B42" s="20"/>
      <c r="C42" s="20"/>
      <c r="D42" s="20"/>
      <c r="E42" s="20"/>
      <c r="F42" s="20"/>
      <c r="G42" s="20"/>
      <c r="H42" s="20"/>
      <c r="I42" s="20"/>
      <c r="J42" s="20"/>
      <c r="K42" s="20"/>
    </row>
    <row r="43" ht="15.75" customHeight="1">
      <c r="A43" s="20"/>
      <c r="B43" s="20"/>
      <c r="C43" s="20"/>
      <c r="D43" s="20"/>
      <c r="E43" s="20"/>
      <c r="F43" s="20"/>
      <c r="G43" s="20"/>
      <c r="H43" s="20"/>
      <c r="I43" s="20"/>
      <c r="J43" s="20"/>
      <c r="K43" s="20"/>
    </row>
    <row r="44" ht="15.75" customHeight="1">
      <c r="A44" s="20"/>
      <c r="B44" s="20"/>
      <c r="C44" s="20"/>
      <c r="D44" s="20"/>
      <c r="E44" s="20"/>
      <c r="F44" s="20"/>
      <c r="G44" s="20"/>
      <c r="H44" s="20"/>
      <c r="I44" s="20"/>
      <c r="J44" s="20"/>
      <c r="K44" s="20"/>
    </row>
    <row r="45" ht="15.75" customHeight="1">
      <c r="A45" s="20"/>
      <c r="B45" s="20"/>
      <c r="C45" s="20"/>
      <c r="D45" s="20"/>
      <c r="E45" s="20"/>
      <c r="F45" s="20"/>
      <c r="G45" s="20"/>
      <c r="H45" s="20"/>
      <c r="I45" s="20"/>
      <c r="J45" s="20"/>
      <c r="K45" s="20"/>
    </row>
    <row r="46" ht="15.75" customHeight="1">
      <c r="A46" s="20"/>
      <c r="B46" s="20"/>
      <c r="C46" s="20"/>
      <c r="D46" s="20"/>
      <c r="E46" s="20"/>
      <c r="F46" s="20"/>
      <c r="G46" s="20"/>
      <c r="H46" s="20"/>
      <c r="I46" s="20"/>
      <c r="J46" s="20"/>
      <c r="K46" s="20"/>
    </row>
    <row r="47" ht="15.75" customHeight="1">
      <c r="A47" s="20"/>
      <c r="B47" s="20"/>
      <c r="C47" s="20"/>
      <c r="D47" s="20"/>
      <c r="E47" s="20"/>
      <c r="F47" s="20"/>
      <c r="G47" s="20"/>
      <c r="H47" s="20"/>
      <c r="I47" s="20"/>
      <c r="J47" s="20"/>
      <c r="K47" s="20"/>
    </row>
    <row r="48" ht="15.75" customHeight="1">
      <c r="A48" s="20"/>
      <c r="B48" s="20"/>
      <c r="C48" s="20"/>
      <c r="D48" s="20"/>
      <c r="E48" s="20"/>
      <c r="F48" s="20"/>
      <c r="G48" s="20"/>
      <c r="H48" s="20"/>
      <c r="I48" s="20"/>
      <c r="J48" s="20"/>
      <c r="K48" s="20"/>
    </row>
    <row r="49" ht="15.75" customHeight="1">
      <c r="A49" s="20"/>
      <c r="B49" s="20"/>
      <c r="C49" s="20"/>
      <c r="D49" s="20"/>
      <c r="E49" s="20"/>
      <c r="F49" s="20"/>
      <c r="G49" s="20"/>
      <c r="H49" s="20"/>
      <c r="I49" s="20"/>
      <c r="J49" s="20"/>
      <c r="K49" s="20"/>
    </row>
    <row r="50" ht="15.75" customHeight="1">
      <c r="A50" s="20"/>
      <c r="B50" s="20"/>
      <c r="C50" s="20"/>
      <c r="D50" s="20"/>
      <c r="E50" s="20"/>
      <c r="F50" s="20"/>
      <c r="G50" s="20"/>
      <c r="H50" s="20"/>
      <c r="I50" s="20"/>
      <c r="J50" s="20"/>
      <c r="K50" s="20"/>
    </row>
    <row r="51" ht="15.75" customHeight="1">
      <c r="E51" s="21"/>
      <c r="I51" s="21"/>
    </row>
    <row r="52" ht="15.75" customHeight="1">
      <c r="E52" s="21"/>
      <c r="I52" s="21"/>
    </row>
    <row r="53" ht="15.75" customHeight="1">
      <c r="E53" s="21"/>
      <c r="I53" s="21"/>
    </row>
    <row r="54" ht="15.75" customHeight="1">
      <c r="E54" s="21"/>
      <c r="I54" s="21"/>
    </row>
    <row r="55" ht="15.75" customHeight="1">
      <c r="E55" s="21"/>
      <c r="I55" s="21"/>
    </row>
    <row r="56" ht="15.75" customHeight="1">
      <c r="E56" s="21"/>
      <c r="I56" s="21"/>
    </row>
    <row r="57" ht="15.75" customHeight="1">
      <c r="E57" s="21"/>
      <c r="I57" s="21"/>
    </row>
    <row r="58" ht="15.75" customHeight="1">
      <c r="E58" s="21"/>
      <c r="I58" s="21"/>
    </row>
    <row r="59" ht="15.75" customHeight="1">
      <c r="E59" s="21"/>
      <c r="I59" s="21"/>
    </row>
    <row r="60" ht="15.75" customHeight="1">
      <c r="E60" s="21"/>
      <c r="I60" s="21"/>
    </row>
    <row r="61" ht="15.75" customHeight="1">
      <c r="E61" s="21"/>
      <c r="I61" s="21"/>
    </row>
    <row r="62" ht="15.75" customHeight="1">
      <c r="E62" s="21"/>
      <c r="I62" s="21"/>
    </row>
    <row r="63" ht="15.75" customHeight="1">
      <c r="E63" s="21"/>
      <c r="I63" s="21"/>
    </row>
    <row r="64" ht="15.75" customHeight="1">
      <c r="E64" s="21"/>
      <c r="I64" s="21"/>
    </row>
    <row r="65" ht="15.75" customHeight="1">
      <c r="E65" s="21"/>
      <c r="I65" s="21"/>
    </row>
    <row r="66" ht="15.75" customHeight="1">
      <c r="E66" s="21"/>
      <c r="I66" s="21"/>
    </row>
    <row r="67" ht="15.75" customHeight="1">
      <c r="E67" s="21"/>
      <c r="I67" s="21"/>
    </row>
    <row r="68" ht="15.75" customHeight="1">
      <c r="E68" s="21"/>
      <c r="I68" s="21"/>
    </row>
    <row r="69" ht="15.75" customHeight="1">
      <c r="E69" s="21"/>
      <c r="I69" s="21"/>
    </row>
    <row r="70" ht="15.75" customHeight="1">
      <c r="E70" s="21"/>
      <c r="I70" s="21"/>
    </row>
    <row r="71" ht="15.75" customHeight="1">
      <c r="E71" s="21"/>
      <c r="I71" s="21"/>
    </row>
    <row r="72" ht="15.75" customHeight="1">
      <c r="E72" s="21"/>
      <c r="I72" s="21"/>
    </row>
    <row r="73" ht="15.75" customHeight="1">
      <c r="E73" s="21"/>
      <c r="I73" s="21"/>
    </row>
    <row r="74" ht="15.75" customHeight="1">
      <c r="E74" s="21"/>
      <c r="I74" s="21"/>
    </row>
    <row r="75" ht="15.75" customHeight="1">
      <c r="E75" s="21"/>
      <c r="I75" s="21"/>
    </row>
    <row r="76" ht="15.75" customHeight="1">
      <c r="E76" s="21"/>
      <c r="I76" s="21"/>
    </row>
    <row r="77" ht="15.75" customHeight="1">
      <c r="E77" s="21"/>
      <c r="I77" s="21"/>
    </row>
    <row r="78" ht="15.75" customHeight="1">
      <c r="E78" s="21"/>
      <c r="I78" s="21"/>
    </row>
    <row r="79" ht="15.75" customHeight="1">
      <c r="E79" s="21"/>
      <c r="I79" s="21"/>
    </row>
    <row r="80" ht="15.75" customHeight="1">
      <c r="E80" s="21"/>
      <c r="I80" s="21"/>
    </row>
    <row r="81" ht="15.75" customHeight="1">
      <c r="E81" s="21"/>
      <c r="I81" s="21"/>
    </row>
    <row r="82" ht="15.75" customHeight="1">
      <c r="E82" s="21"/>
      <c r="I82" s="21"/>
    </row>
    <row r="83" ht="15.75" customHeight="1">
      <c r="E83" s="21"/>
      <c r="I83" s="21"/>
    </row>
    <row r="84" ht="15.75" customHeight="1">
      <c r="E84" s="21"/>
      <c r="I84" s="21"/>
    </row>
    <row r="85" ht="15.75" customHeight="1">
      <c r="E85" s="21"/>
      <c r="I85" s="21"/>
    </row>
    <row r="86" ht="15.75" customHeight="1">
      <c r="E86" s="21"/>
      <c r="I86" s="21"/>
    </row>
    <row r="87" ht="15.75" customHeight="1">
      <c r="E87" s="21"/>
      <c r="I87" s="21"/>
    </row>
    <row r="88" ht="15.75" customHeight="1">
      <c r="E88" s="21"/>
      <c r="I88" s="21"/>
    </row>
    <row r="89" ht="15.75" customHeight="1">
      <c r="E89" s="21"/>
      <c r="I89" s="21"/>
    </row>
    <row r="90" ht="15.75" customHeight="1">
      <c r="E90" s="21"/>
      <c r="I90" s="21"/>
    </row>
    <row r="91" ht="15.75" customHeight="1">
      <c r="E91" s="21"/>
      <c r="I91" s="21"/>
    </row>
    <row r="92" ht="15.75" customHeight="1">
      <c r="E92" s="21"/>
      <c r="I92" s="21"/>
    </row>
    <row r="93" ht="15.75" customHeight="1">
      <c r="E93" s="21"/>
      <c r="I93" s="21"/>
    </row>
    <row r="94" ht="15.75" customHeight="1">
      <c r="E94" s="21"/>
      <c r="I94" s="21"/>
    </row>
    <row r="95" ht="15.75" customHeight="1">
      <c r="E95" s="21"/>
      <c r="I95" s="21"/>
    </row>
    <row r="96" ht="15.75" customHeight="1">
      <c r="E96" s="21"/>
      <c r="I96" s="21"/>
    </row>
    <row r="97" ht="15.75" customHeight="1">
      <c r="E97" s="21"/>
      <c r="I97" s="21"/>
    </row>
    <row r="98" ht="15.75" customHeight="1">
      <c r="E98" s="21"/>
      <c r="I98" s="21"/>
    </row>
    <row r="99" ht="15.75" customHeight="1">
      <c r="E99" s="21"/>
      <c r="I99" s="21"/>
    </row>
    <row r="100" ht="15.75" customHeight="1">
      <c r="E100" s="21"/>
      <c r="I100" s="2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100">
      <formula1>"Low,Medium,High,Critical"</formula1>
    </dataValidation>
    <dataValidation type="list" allowBlank="1" sqref="I2:I100">
      <formula1>"Not Started,Planned,Partial,Implemented,Implemented &amp; Tested,Automated &amp; Monitored,N/A"</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2.0"/>
    <col customWidth="1" min="3" max="3" width="55.0"/>
    <col customWidth="1" min="4" max="4" width="35.0"/>
    <col customWidth="1" min="5" max="5" width="45.0"/>
    <col customWidth="1" min="6" max="6" width="12.0"/>
    <col customWidth="1" min="7" max="7" width="18.0"/>
    <col customWidth="1" min="8" max="8" width="35.0"/>
    <col customWidth="1" min="9" max="26" width="8.63"/>
  </cols>
  <sheetData>
    <row r="1" ht="31.5" customHeight="1">
      <c r="A1" s="18" t="s">
        <v>707</v>
      </c>
      <c r="B1" s="18" t="s">
        <v>708</v>
      </c>
      <c r="C1" s="18" t="s">
        <v>709</v>
      </c>
      <c r="D1" s="18" t="s">
        <v>710</v>
      </c>
      <c r="E1" s="18" t="s">
        <v>711</v>
      </c>
      <c r="F1" s="18" t="s">
        <v>82</v>
      </c>
      <c r="G1" s="18" t="s">
        <v>37</v>
      </c>
      <c r="H1" s="18" t="s">
        <v>84</v>
      </c>
    </row>
    <row r="2">
      <c r="A2" s="20" t="s">
        <v>712</v>
      </c>
      <c r="B2" s="20" t="s">
        <v>713</v>
      </c>
      <c r="C2" s="20" t="s">
        <v>714</v>
      </c>
      <c r="D2" s="20" t="s">
        <v>715</v>
      </c>
      <c r="E2" s="20" t="s">
        <v>716</v>
      </c>
      <c r="F2" s="20" t="s">
        <v>93</v>
      </c>
      <c r="G2" s="20" t="s">
        <v>40</v>
      </c>
      <c r="H2" s="20"/>
    </row>
    <row r="3">
      <c r="A3" s="20" t="s">
        <v>717</v>
      </c>
      <c r="B3" s="20" t="s">
        <v>718</v>
      </c>
      <c r="C3" s="20" t="s">
        <v>719</v>
      </c>
      <c r="D3" s="20" t="s">
        <v>720</v>
      </c>
      <c r="E3" s="20" t="s">
        <v>721</v>
      </c>
      <c r="F3" s="20" t="s">
        <v>93</v>
      </c>
      <c r="G3" s="20" t="s">
        <v>40</v>
      </c>
      <c r="H3" s="20"/>
    </row>
    <row r="4">
      <c r="A4" s="20" t="s">
        <v>722</v>
      </c>
      <c r="B4" s="20" t="s">
        <v>723</v>
      </c>
      <c r="C4" s="20" t="s">
        <v>724</v>
      </c>
      <c r="D4" s="20" t="s">
        <v>725</v>
      </c>
      <c r="E4" s="20" t="s">
        <v>726</v>
      </c>
      <c r="F4" s="20" t="s">
        <v>110</v>
      </c>
      <c r="G4" s="20" t="s">
        <v>40</v>
      </c>
      <c r="H4" s="20"/>
    </row>
    <row r="5">
      <c r="A5" s="20" t="s">
        <v>727</v>
      </c>
      <c r="B5" s="20" t="s">
        <v>728</v>
      </c>
      <c r="C5" s="20" t="s">
        <v>729</v>
      </c>
      <c r="D5" s="20" t="s">
        <v>730</v>
      </c>
      <c r="E5" s="20" t="s">
        <v>731</v>
      </c>
      <c r="F5" s="20" t="s">
        <v>110</v>
      </c>
      <c r="G5" s="20" t="s">
        <v>40</v>
      </c>
      <c r="H5" s="20"/>
    </row>
    <row r="6">
      <c r="A6" s="20" t="s">
        <v>732</v>
      </c>
      <c r="B6" s="20" t="s">
        <v>733</v>
      </c>
      <c r="C6" s="20" t="s">
        <v>734</v>
      </c>
      <c r="D6" s="20" t="s">
        <v>735</v>
      </c>
      <c r="E6" s="20" t="s">
        <v>736</v>
      </c>
      <c r="F6" s="20" t="s">
        <v>110</v>
      </c>
      <c r="G6" s="20" t="s">
        <v>40</v>
      </c>
      <c r="H6" s="20"/>
    </row>
    <row r="7">
      <c r="A7" s="20" t="s">
        <v>737</v>
      </c>
      <c r="B7" s="20" t="s">
        <v>738</v>
      </c>
      <c r="C7" s="20" t="s">
        <v>739</v>
      </c>
      <c r="D7" s="20" t="s">
        <v>740</v>
      </c>
      <c r="E7" s="20" t="s">
        <v>741</v>
      </c>
      <c r="F7" s="20" t="s">
        <v>110</v>
      </c>
      <c r="G7" s="20" t="s">
        <v>40</v>
      </c>
      <c r="H7" s="20"/>
    </row>
    <row r="8">
      <c r="A8" s="20" t="s">
        <v>742</v>
      </c>
      <c r="B8" s="20" t="s">
        <v>743</v>
      </c>
      <c r="C8" s="20" t="s">
        <v>744</v>
      </c>
      <c r="D8" s="20" t="s">
        <v>745</v>
      </c>
      <c r="E8" s="20" t="s">
        <v>746</v>
      </c>
      <c r="F8" s="20" t="s">
        <v>110</v>
      </c>
      <c r="G8" s="20" t="s">
        <v>40</v>
      </c>
      <c r="H8" s="20"/>
    </row>
    <row r="9">
      <c r="A9" s="20" t="s">
        <v>747</v>
      </c>
      <c r="B9" s="20" t="s">
        <v>748</v>
      </c>
      <c r="C9" s="20" t="s">
        <v>749</v>
      </c>
      <c r="D9" s="20" t="s">
        <v>750</v>
      </c>
      <c r="E9" s="20" t="s">
        <v>751</v>
      </c>
      <c r="F9" s="20" t="s">
        <v>110</v>
      </c>
      <c r="G9" s="20" t="s">
        <v>40</v>
      </c>
      <c r="H9" s="20"/>
    </row>
    <row r="10">
      <c r="A10" s="20" t="s">
        <v>752</v>
      </c>
      <c r="B10" s="20" t="s">
        <v>753</v>
      </c>
      <c r="C10" s="20" t="s">
        <v>754</v>
      </c>
      <c r="D10" s="20" t="s">
        <v>755</v>
      </c>
      <c r="E10" s="20" t="s">
        <v>756</v>
      </c>
      <c r="F10" s="20" t="s">
        <v>93</v>
      </c>
      <c r="G10" s="20" t="s">
        <v>40</v>
      </c>
      <c r="H10" s="20"/>
    </row>
    <row r="11">
      <c r="A11" s="20" t="s">
        <v>757</v>
      </c>
      <c r="B11" s="20" t="s">
        <v>758</v>
      </c>
      <c r="C11" s="20" t="s">
        <v>759</v>
      </c>
      <c r="D11" s="20" t="s">
        <v>760</v>
      </c>
      <c r="E11" s="20" t="s">
        <v>761</v>
      </c>
      <c r="F11" s="20" t="s">
        <v>110</v>
      </c>
      <c r="G11" s="20" t="s">
        <v>40</v>
      </c>
      <c r="H11" s="20"/>
    </row>
    <row r="12">
      <c r="A12" s="20"/>
      <c r="B12" s="20"/>
      <c r="C12" s="20"/>
      <c r="D12" s="20"/>
      <c r="E12" s="20"/>
      <c r="F12" s="20"/>
      <c r="G12" s="20"/>
      <c r="H12" s="20"/>
    </row>
    <row r="13">
      <c r="A13" s="20"/>
      <c r="B13" s="20"/>
      <c r="C13" s="20"/>
      <c r="D13" s="20"/>
      <c r="E13" s="20"/>
      <c r="F13" s="20"/>
      <c r="G13" s="20"/>
      <c r="H13" s="20"/>
    </row>
    <row r="14">
      <c r="A14" s="20"/>
      <c r="B14" s="20"/>
      <c r="C14" s="20"/>
      <c r="D14" s="20"/>
      <c r="E14" s="20"/>
      <c r="F14" s="20"/>
      <c r="G14" s="20"/>
      <c r="H14" s="20"/>
    </row>
    <row r="15">
      <c r="A15" s="20"/>
      <c r="B15" s="20"/>
      <c r="C15" s="20"/>
      <c r="D15" s="20"/>
      <c r="E15" s="20"/>
      <c r="F15" s="20"/>
      <c r="G15" s="20"/>
      <c r="H15" s="20"/>
    </row>
    <row r="16">
      <c r="A16" s="20"/>
      <c r="B16" s="20"/>
      <c r="C16" s="20"/>
      <c r="D16" s="20"/>
      <c r="E16" s="20"/>
      <c r="F16" s="20"/>
      <c r="G16" s="20"/>
      <c r="H16" s="20"/>
    </row>
    <row r="17">
      <c r="A17" s="20"/>
      <c r="B17" s="20"/>
      <c r="C17" s="20"/>
      <c r="D17" s="20"/>
      <c r="E17" s="20"/>
      <c r="F17" s="20"/>
      <c r="G17" s="20"/>
      <c r="H17" s="20"/>
    </row>
    <row r="18">
      <c r="A18" s="20"/>
      <c r="B18" s="20"/>
      <c r="C18" s="20"/>
      <c r="D18" s="20"/>
      <c r="E18" s="20"/>
      <c r="F18" s="20"/>
      <c r="G18" s="20"/>
      <c r="H18" s="20"/>
    </row>
    <row r="19">
      <c r="A19" s="20"/>
      <c r="B19" s="20"/>
      <c r="C19" s="20"/>
      <c r="D19" s="20"/>
      <c r="E19" s="20"/>
      <c r="F19" s="20"/>
      <c r="G19" s="20"/>
      <c r="H19" s="20"/>
    </row>
    <row r="20">
      <c r="A20" s="20"/>
      <c r="B20" s="20"/>
      <c r="C20" s="20"/>
      <c r="D20" s="20"/>
      <c r="E20" s="20"/>
      <c r="F20" s="20"/>
      <c r="G20" s="20"/>
      <c r="H20" s="20"/>
    </row>
    <row r="21" ht="15.75" customHeight="1">
      <c r="A21" s="20"/>
      <c r="B21" s="20"/>
      <c r="C21" s="20"/>
      <c r="D21" s="20"/>
      <c r="E21" s="20"/>
      <c r="F21" s="20"/>
      <c r="G21" s="20"/>
      <c r="H21" s="20"/>
    </row>
    <row r="22" ht="15.75" customHeight="1">
      <c r="A22" s="20"/>
      <c r="B22" s="20"/>
      <c r="C22" s="20"/>
      <c r="D22" s="20"/>
      <c r="E22" s="20"/>
      <c r="F22" s="20"/>
      <c r="G22" s="20"/>
      <c r="H22" s="20"/>
    </row>
    <row r="23" ht="15.75" customHeight="1">
      <c r="A23" s="20"/>
      <c r="B23" s="20"/>
      <c r="C23" s="20"/>
      <c r="D23" s="20"/>
      <c r="E23" s="20"/>
      <c r="F23" s="20"/>
      <c r="G23" s="20"/>
      <c r="H23" s="20"/>
    </row>
    <row r="24" ht="15.75" customHeight="1">
      <c r="A24" s="20"/>
      <c r="B24" s="20"/>
      <c r="C24" s="20"/>
      <c r="D24" s="20"/>
      <c r="E24" s="20"/>
      <c r="F24" s="20"/>
      <c r="G24" s="20"/>
      <c r="H24" s="20"/>
    </row>
    <row r="25" ht="15.75" customHeight="1">
      <c r="A25" s="20"/>
      <c r="B25" s="20"/>
      <c r="C25" s="20"/>
      <c r="D25" s="20"/>
      <c r="E25" s="20"/>
      <c r="F25" s="20"/>
      <c r="G25" s="20"/>
      <c r="H25" s="20"/>
    </row>
    <row r="26" ht="15.75" customHeight="1">
      <c r="A26" s="20"/>
      <c r="B26" s="20"/>
      <c r="C26" s="20"/>
      <c r="D26" s="20"/>
      <c r="E26" s="20"/>
      <c r="F26" s="20"/>
      <c r="G26" s="20"/>
      <c r="H26" s="20"/>
    </row>
    <row r="27" ht="15.75" customHeight="1">
      <c r="A27" s="20"/>
      <c r="B27" s="20"/>
      <c r="C27" s="20"/>
      <c r="D27" s="20"/>
      <c r="E27" s="20"/>
      <c r="F27" s="20"/>
      <c r="G27" s="20"/>
      <c r="H27" s="20"/>
    </row>
    <row r="28" ht="15.75" customHeight="1">
      <c r="A28" s="20"/>
      <c r="B28" s="20"/>
      <c r="C28" s="20"/>
      <c r="D28" s="20"/>
      <c r="E28" s="20"/>
      <c r="F28" s="20"/>
      <c r="G28" s="20"/>
      <c r="H28" s="20"/>
    </row>
    <row r="29" ht="15.75" customHeight="1">
      <c r="A29" s="20"/>
      <c r="B29" s="20"/>
      <c r="C29" s="20"/>
      <c r="D29" s="20"/>
      <c r="E29" s="20"/>
      <c r="F29" s="20"/>
      <c r="G29" s="20"/>
      <c r="H29" s="20"/>
    </row>
    <row r="30" ht="15.75" customHeight="1">
      <c r="A30" s="20"/>
      <c r="B30" s="20"/>
      <c r="C30" s="20"/>
      <c r="D30" s="20"/>
      <c r="E30" s="20"/>
      <c r="F30" s="20"/>
      <c r="G30" s="20"/>
      <c r="H30" s="20"/>
    </row>
    <row r="31" ht="15.75" customHeight="1">
      <c r="A31" s="20"/>
      <c r="B31" s="20"/>
      <c r="C31" s="20"/>
      <c r="D31" s="20"/>
      <c r="E31" s="20"/>
      <c r="F31" s="20"/>
      <c r="G31" s="20"/>
      <c r="H31" s="20"/>
    </row>
    <row r="32" ht="15.75" customHeight="1">
      <c r="A32" s="20"/>
      <c r="B32" s="20"/>
      <c r="C32" s="20"/>
      <c r="D32" s="20"/>
      <c r="E32" s="20"/>
      <c r="F32" s="20"/>
      <c r="G32" s="20"/>
      <c r="H32" s="20"/>
    </row>
    <row r="33" ht="15.75" customHeight="1">
      <c r="A33" s="20"/>
      <c r="B33" s="20"/>
      <c r="C33" s="20"/>
      <c r="D33" s="20"/>
      <c r="E33" s="20"/>
      <c r="F33" s="20"/>
      <c r="G33" s="20"/>
      <c r="H33" s="20"/>
    </row>
    <row r="34" ht="15.75" customHeight="1">
      <c r="A34" s="20"/>
      <c r="B34" s="20"/>
      <c r="C34" s="20"/>
      <c r="D34" s="20"/>
      <c r="E34" s="20"/>
      <c r="F34" s="20"/>
      <c r="G34" s="20"/>
      <c r="H34" s="20"/>
    </row>
    <row r="35" ht="15.75" customHeight="1">
      <c r="A35" s="20"/>
      <c r="B35" s="20"/>
      <c r="C35" s="20"/>
      <c r="D35" s="20"/>
      <c r="E35" s="20"/>
      <c r="F35" s="20"/>
      <c r="G35" s="20"/>
      <c r="H35" s="20"/>
    </row>
    <row r="36" ht="15.75" customHeight="1">
      <c r="A36" s="20"/>
      <c r="B36" s="20"/>
      <c r="C36" s="20"/>
      <c r="D36" s="20"/>
      <c r="E36" s="20"/>
      <c r="F36" s="20"/>
      <c r="G36" s="20"/>
      <c r="H36" s="20"/>
    </row>
    <row r="37" ht="15.75" customHeight="1">
      <c r="A37" s="20"/>
      <c r="B37" s="20"/>
      <c r="C37" s="20"/>
      <c r="D37" s="20"/>
      <c r="E37" s="20"/>
      <c r="F37" s="20"/>
      <c r="G37" s="20"/>
      <c r="H37" s="20"/>
    </row>
    <row r="38" ht="15.75" customHeight="1">
      <c r="A38" s="20"/>
      <c r="B38" s="20"/>
      <c r="C38" s="20"/>
      <c r="D38" s="20"/>
      <c r="E38" s="20"/>
      <c r="F38" s="20"/>
      <c r="G38" s="20"/>
      <c r="H38" s="20"/>
    </row>
    <row r="39" ht="15.75" customHeight="1">
      <c r="A39" s="20"/>
      <c r="B39" s="20"/>
      <c r="C39" s="20"/>
      <c r="D39" s="20"/>
      <c r="E39" s="20"/>
      <c r="F39" s="20"/>
      <c r="G39" s="20"/>
      <c r="H39" s="20"/>
    </row>
    <row r="40" ht="15.75" customHeight="1">
      <c r="A40" s="20"/>
      <c r="B40" s="20"/>
      <c r="C40" s="20"/>
      <c r="D40" s="20"/>
      <c r="E40" s="20"/>
      <c r="F40" s="20"/>
      <c r="G40" s="20"/>
      <c r="H40" s="20"/>
    </row>
    <row r="41" ht="15.75" customHeight="1">
      <c r="A41" s="20"/>
      <c r="B41" s="20"/>
      <c r="C41" s="20"/>
      <c r="D41" s="20"/>
      <c r="E41" s="20"/>
      <c r="F41" s="20"/>
      <c r="G41" s="20"/>
      <c r="H41" s="20"/>
    </row>
    <row r="42" ht="15.75" customHeight="1">
      <c r="A42" s="20"/>
      <c r="B42" s="20"/>
      <c r="C42" s="20"/>
      <c r="D42" s="20"/>
      <c r="E42" s="20"/>
      <c r="F42" s="20"/>
      <c r="G42" s="20"/>
      <c r="H42" s="20"/>
    </row>
    <row r="43" ht="15.75" customHeight="1">
      <c r="A43" s="20"/>
      <c r="B43" s="20"/>
      <c r="C43" s="20"/>
      <c r="D43" s="20"/>
      <c r="E43" s="20"/>
      <c r="F43" s="20"/>
      <c r="G43" s="20"/>
      <c r="H43" s="20"/>
    </row>
    <row r="44" ht="15.75" customHeight="1">
      <c r="A44" s="20"/>
      <c r="B44" s="20"/>
      <c r="C44" s="20"/>
      <c r="D44" s="20"/>
      <c r="E44" s="20"/>
      <c r="F44" s="20"/>
      <c r="G44" s="20"/>
      <c r="H44" s="20"/>
    </row>
    <row r="45" ht="15.75" customHeight="1">
      <c r="A45" s="20"/>
      <c r="B45" s="20"/>
      <c r="C45" s="20"/>
      <c r="D45" s="20"/>
      <c r="E45" s="20"/>
      <c r="F45" s="20"/>
      <c r="G45" s="20"/>
      <c r="H45" s="20"/>
    </row>
    <row r="46" ht="15.75" customHeight="1">
      <c r="A46" s="20"/>
      <c r="B46" s="20"/>
      <c r="C46" s="20"/>
      <c r="D46" s="20"/>
      <c r="E46" s="20"/>
      <c r="F46" s="20"/>
      <c r="G46" s="20"/>
      <c r="H46" s="20"/>
    </row>
    <row r="47" ht="15.75" customHeight="1">
      <c r="A47" s="20"/>
      <c r="B47" s="20"/>
      <c r="C47" s="20"/>
      <c r="D47" s="20"/>
      <c r="E47" s="20"/>
      <c r="F47" s="20"/>
      <c r="G47" s="20"/>
      <c r="H47" s="20"/>
    </row>
    <row r="48" ht="15.75" customHeight="1">
      <c r="A48" s="20"/>
      <c r="B48" s="20"/>
      <c r="C48" s="20"/>
      <c r="D48" s="20"/>
      <c r="E48" s="20"/>
      <c r="F48" s="20"/>
      <c r="G48" s="20"/>
      <c r="H48" s="20"/>
    </row>
    <row r="49" ht="15.75" customHeight="1">
      <c r="A49" s="20"/>
      <c r="B49" s="20"/>
      <c r="C49" s="20"/>
      <c r="D49" s="20"/>
      <c r="E49" s="20"/>
      <c r="F49" s="20"/>
      <c r="G49" s="20"/>
      <c r="H49" s="20"/>
    </row>
    <row r="50" ht="15.75" customHeight="1">
      <c r="A50" s="20"/>
      <c r="B50" s="20"/>
      <c r="C50" s="20"/>
      <c r="D50" s="20"/>
      <c r="E50" s="20"/>
      <c r="F50" s="20"/>
      <c r="G50" s="20"/>
      <c r="H50" s="20"/>
    </row>
    <row r="51" ht="15.75" customHeight="1">
      <c r="F51" s="21"/>
      <c r="G51" s="21"/>
    </row>
    <row r="52" ht="15.75" customHeight="1">
      <c r="F52" s="21"/>
      <c r="G52" s="21"/>
    </row>
    <row r="53" ht="15.75" customHeight="1">
      <c r="F53" s="21"/>
      <c r="G53" s="21"/>
    </row>
    <row r="54" ht="15.75" customHeight="1">
      <c r="F54" s="21"/>
      <c r="G54" s="21"/>
    </row>
    <row r="55" ht="15.75" customHeight="1">
      <c r="F55" s="21"/>
      <c r="G55" s="21"/>
    </row>
    <row r="56" ht="15.75" customHeight="1">
      <c r="F56" s="21"/>
      <c r="G56" s="21"/>
    </row>
    <row r="57" ht="15.75" customHeight="1">
      <c r="F57" s="21"/>
      <c r="G57" s="21"/>
    </row>
    <row r="58" ht="15.75" customHeight="1">
      <c r="F58" s="21"/>
      <c r="G58" s="21"/>
    </row>
    <row r="59" ht="15.75" customHeight="1">
      <c r="F59" s="21"/>
      <c r="G59" s="21"/>
    </row>
    <row r="60" ht="15.75" customHeight="1">
      <c r="F60" s="21"/>
      <c r="G60" s="21"/>
    </row>
    <row r="61" ht="15.75" customHeight="1">
      <c r="F61" s="21"/>
      <c r="G61" s="21"/>
    </row>
    <row r="62" ht="15.75" customHeight="1">
      <c r="F62" s="21"/>
      <c r="G62" s="21"/>
    </row>
    <row r="63" ht="15.75" customHeight="1">
      <c r="F63" s="21"/>
      <c r="G63" s="21"/>
    </row>
    <row r="64" ht="15.75" customHeight="1">
      <c r="F64" s="21"/>
      <c r="G64" s="21"/>
    </row>
    <row r="65" ht="15.75" customHeight="1">
      <c r="F65" s="21"/>
      <c r="G65" s="21"/>
    </row>
    <row r="66" ht="15.75" customHeight="1">
      <c r="F66" s="21"/>
      <c r="G66" s="21"/>
    </row>
    <row r="67" ht="15.75" customHeight="1">
      <c r="F67" s="21"/>
      <c r="G67" s="21"/>
    </row>
    <row r="68" ht="15.75" customHeight="1">
      <c r="F68" s="21"/>
      <c r="G68" s="21"/>
    </row>
    <row r="69" ht="15.75" customHeight="1">
      <c r="F69" s="21"/>
      <c r="G69" s="21"/>
    </row>
    <row r="70" ht="15.75" customHeight="1">
      <c r="F70" s="21"/>
      <c r="G70" s="21"/>
    </row>
    <row r="71" ht="15.75" customHeight="1">
      <c r="F71" s="21"/>
      <c r="G71" s="21"/>
    </row>
    <row r="72" ht="15.75" customHeight="1">
      <c r="F72" s="21"/>
      <c r="G72" s="21"/>
    </row>
    <row r="73" ht="15.75" customHeight="1">
      <c r="F73" s="21"/>
      <c r="G73" s="21"/>
    </row>
    <row r="74" ht="15.75" customHeight="1">
      <c r="F74" s="21"/>
      <c r="G74" s="21"/>
    </row>
    <row r="75" ht="15.75" customHeight="1">
      <c r="F75" s="21"/>
      <c r="G75" s="21"/>
    </row>
    <row r="76" ht="15.75" customHeight="1">
      <c r="F76" s="21"/>
      <c r="G76" s="21"/>
    </row>
    <row r="77" ht="15.75" customHeight="1">
      <c r="F77" s="21"/>
      <c r="G77" s="21"/>
    </row>
    <row r="78" ht="15.75" customHeight="1">
      <c r="F78" s="21"/>
      <c r="G78" s="21"/>
    </row>
    <row r="79" ht="15.75" customHeight="1">
      <c r="F79" s="21"/>
      <c r="G79" s="21"/>
    </row>
    <row r="80" ht="15.75" customHeight="1">
      <c r="F80" s="21"/>
      <c r="G80" s="21"/>
    </row>
    <row r="81" ht="15.75" customHeight="1">
      <c r="F81" s="21"/>
      <c r="G81" s="21"/>
    </row>
    <row r="82" ht="15.75" customHeight="1">
      <c r="F82" s="21"/>
      <c r="G82" s="21"/>
    </row>
    <row r="83" ht="15.75" customHeight="1">
      <c r="F83" s="21"/>
      <c r="G83" s="21"/>
    </row>
    <row r="84" ht="15.75" customHeight="1">
      <c r="F84" s="21"/>
      <c r="G84" s="21"/>
    </row>
    <row r="85" ht="15.75" customHeight="1">
      <c r="F85" s="21"/>
      <c r="G85" s="21"/>
    </row>
    <row r="86" ht="15.75" customHeight="1">
      <c r="F86" s="21"/>
      <c r="G86" s="21"/>
    </row>
    <row r="87" ht="15.75" customHeight="1">
      <c r="F87" s="21"/>
      <c r="G87" s="21"/>
    </row>
    <row r="88" ht="15.75" customHeight="1">
      <c r="F88" s="21"/>
      <c r="G88" s="21"/>
    </row>
    <row r="89" ht="15.75" customHeight="1">
      <c r="F89" s="21"/>
      <c r="G89" s="21"/>
    </row>
    <row r="90" ht="15.75" customHeight="1">
      <c r="F90" s="21"/>
      <c r="G90" s="21"/>
    </row>
    <row r="91" ht="15.75" customHeight="1">
      <c r="F91" s="21"/>
      <c r="G91" s="21"/>
    </row>
    <row r="92" ht="15.75" customHeight="1">
      <c r="F92" s="21"/>
      <c r="G92" s="21"/>
    </row>
    <row r="93" ht="15.75" customHeight="1">
      <c r="F93" s="21"/>
      <c r="G93" s="21"/>
    </row>
    <row r="94" ht="15.75" customHeight="1">
      <c r="F94" s="21"/>
      <c r="G94" s="21"/>
    </row>
    <row r="95" ht="15.75" customHeight="1">
      <c r="F95" s="21"/>
      <c r="G95" s="21"/>
    </row>
    <row r="96" ht="15.75" customHeight="1">
      <c r="F96" s="21"/>
      <c r="G96" s="21"/>
    </row>
    <row r="97" ht="15.75" customHeight="1">
      <c r="F97" s="21"/>
      <c r="G97" s="21"/>
    </row>
    <row r="98" ht="15.75" customHeight="1">
      <c r="F98" s="21"/>
      <c r="G98" s="21"/>
    </row>
    <row r="99" ht="15.75" customHeight="1">
      <c r="F99" s="21"/>
      <c r="G99" s="21"/>
    </row>
    <row r="100" ht="15.75" customHeight="1">
      <c r="F100" s="21"/>
      <c r="G100" s="2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100">
      <formula1>"Not Started,Planned,Partial,Implemented,Implemented &amp; Tested,Automated &amp; Monitored,N/A"</formula1>
    </dataValidation>
    <dataValidation type="list" allowBlank="1" sqref="F2:F100">
      <formula1>"Critical,High,Medium,Low"</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8.0"/>
    <col customWidth="1" min="3" max="3" width="62.0"/>
    <col customWidth="1" min="4" max="4" width="24.0"/>
    <col customWidth="1" min="5" max="5" width="40.0"/>
    <col customWidth="1" min="6" max="6" width="35.0"/>
    <col customWidth="1" min="7" max="26" width="8.63"/>
  </cols>
  <sheetData>
    <row r="1" ht="31.5" customHeight="1">
      <c r="A1" s="18" t="s">
        <v>762</v>
      </c>
      <c r="B1" s="18" t="s">
        <v>763</v>
      </c>
      <c r="C1" s="18" t="s">
        <v>764</v>
      </c>
      <c r="D1" s="18" t="s">
        <v>81</v>
      </c>
      <c r="E1" s="18" t="s">
        <v>765</v>
      </c>
      <c r="F1" s="18" t="s">
        <v>84</v>
      </c>
    </row>
    <row r="2">
      <c r="A2" s="20" t="s">
        <v>766</v>
      </c>
      <c r="B2" s="20" t="s">
        <v>767</v>
      </c>
      <c r="C2" s="20" t="s">
        <v>768</v>
      </c>
      <c r="D2" s="20" t="s">
        <v>451</v>
      </c>
      <c r="E2" s="20" t="s">
        <v>769</v>
      </c>
      <c r="F2" s="20"/>
    </row>
    <row r="3">
      <c r="A3" s="20" t="s">
        <v>770</v>
      </c>
      <c r="B3" s="20" t="s">
        <v>771</v>
      </c>
      <c r="C3" s="20" t="s">
        <v>772</v>
      </c>
      <c r="D3" s="20" t="s">
        <v>773</v>
      </c>
      <c r="E3" s="20" t="s">
        <v>774</v>
      </c>
      <c r="F3" s="20"/>
    </row>
    <row r="4">
      <c r="A4" s="20" t="s">
        <v>775</v>
      </c>
      <c r="B4" s="20" t="s">
        <v>776</v>
      </c>
      <c r="C4" s="20" t="s">
        <v>777</v>
      </c>
      <c r="D4" s="20" t="s">
        <v>778</v>
      </c>
      <c r="E4" s="20" t="s">
        <v>779</v>
      </c>
      <c r="F4" s="20" t="s">
        <v>780</v>
      </c>
    </row>
    <row r="5">
      <c r="A5" s="20" t="s">
        <v>781</v>
      </c>
      <c r="B5" s="20" t="s">
        <v>782</v>
      </c>
      <c r="C5" s="20" t="s">
        <v>783</v>
      </c>
      <c r="D5" s="20" t="s">
        <v>198</v>
      </c>
      <c r="E5" s="20" t="s">
        <v>784</v>
      </c>
      <c r="F5" s="20"/>
    </row>
    <row r="6">
      <c r="A6" s="20" t="s">
        <v>785</v>
      </c>
      <c r="B6" s="20" t="s">
        <v>786</v>
      </c>
      <c r="C6" s="20" t="s">
        <v>787</v>
      </c>
      <c r="D6" s="20" t="s">
        <v>788</v>
      </c>
      <c r="E6" s="20" t="s">
        <v>789</v>
      </c>
      <c r="F6" s="20"/>
    </row>
    <row r="7">
      <c r="A7" s="20" t="s">
        <v>790</v>
      </c>
      <c r="B7" s="20" t="s">
        <v>791</v>
      </c>
      <c r="C7" s="20" t="s">
        <v>792</v>
      </c>
      <c r="D7" s="20" t="s">
        <v>793</v>
      </c>
      <c r="E7" s="20" t="s">
        <v>794</v>
      </c>
      <c r="F7" s="20"/>
    </row>
    <row r="8">
      <c r="A8" s="20" t="s">
        <v>795</v>
      </c>
      <c r="B8" s="20" t="s">
        <v>796</v>
      </c>
      <c r="C8" s="20" t="s">
        <v>797</v>
      </c>
      <c r="D8" s="20" t="s">
        <v>798</v>
      </c>
      <c r="E8" s="20" t="s">
        <v>799</v>
      </c>
      <c r="F8" s="20"/>
    </row>
    <row r="9">
      <c r="A9" s="20" t="s">
        <v>800</v>
      </c>
      <c r="B9" s="20" t="s">
        <v>801</v>
      </c>
      <c r="C9" s="20" t="s">
        <v>802</v>
      </c>
      <c r="D9" s="20" t="s">
        <v>284</v>
      </c>
      <c r="E9" s="20" t="s">
        <v>803</v>
      </c>
      <c r="F9" s="20"/>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65.0"/>
    <col customWidth="1" min="3" max="3" width="70.0"/>
    <col customWidth="1" min="4" max="26" width="8.63"/>
  </cols>
  <sheetData>
    <row r="1">
      <c r="A1" s="18" t="s">
        <v>804</v>
      </c>
      <c r="B1" s="18" t="s">
        <v>805</v>
      </c>
      <c r="C1" s="18" t="s">
        <v>806</v>
      </c>
    </row>
    <row r="2">
      <c r="A2" s="22" t="s">
        <v>807</v>
      </c>
      <c r="B2" s="22" t="s">
        <v>808</v>
      </c>
      <c r="C2" s="22" t="s">
        <v>94</v>
      </c>
    </row>
    <row r="3">
      <c r="A3" s="22" t="s">
        <v>809</v>
      </c>
      <c r="B3" s="22" t="s">
        <v>810</v>
      </c>
      <c r="C3" s="22" t="s">
        <v>155</v>
      </c>
    </row>
    <row r="4">
      <c r="A4" s="22" t="s">
        <v>811</v>
      </c>
      <c r="B4" s="22" t="s">
        <v>812</v>
      </c>
      <c r="C4" s="22" t="s">
        <v>102</v>
      </c>
    </row>
    <row r="5">
      <c r="A5" s="22" t="s">
        <v>813</v>
      </c>
      <c r="B5" s="22" t="s">
        <v>814</v>
      </c>
      <c r="C5" s="22" t="s">
        <v>111</v>
      </c>
    </row>
    <row r="6">
      <c r="A6" s="22" t="s">
        <v>815</v>
      </c>
      <c r="B6" s="22" t="s">
        <v>816</v>
      </c>
      <c r="C6" s="22" t="s">
        <v>199</v>
      </c>
    </row>
    <row r="7">
      <c r="A7" s="22" t="s">
        <v>817</v>
      </c>
      <c r="B7" s="22" t="s">
        <v>818</v>
      </c>
      <c r="C7" s="22" t="s">
        <v>338</v>
      </c>
    </row>
    <row r="8">
      <c r="A8" s="22" t="s">
        <v>819</v>
      </c>
      <c r="B8" s="22" t="s">
        <v>820</v>
      </c>
      <c r="C8" s="22" t="s">
        <v>170</v>
      </c>
    </row>
    <row r="9">
      <c r="A9" s="22" t="s">
        <v>821</v>
      </c>
      <c r="B9" s="22" t="s">
        <v>822</v>
      </c>
      <c r="C9" s="22" t="s">
        <v>119</v>
      </c>
    </row>
    <row r="11">
      <c r="A11" s="23" t="s">
        <v>823</v>
      </c>
      <c r="B11" s="23" t="s">
        <v>824</v>
      </c>
      <c r="C11" s="23" t="s">
        <v>18</v>
      </c>
    </row>
    <row r="12">
      <c r="A12" s="8" t="s">
        <v>22</v>
      </c>
      <c r="B12" s="8" t="s">
        <v>825</v>
      </c>
      <c r="C12" s="8" t="s">
        <v>826</v>
      </c>
    </row>
    <row r="13">
      <c r="A13" s="8" t="s">
        <v>19</v>
      </c>
      <c r="B13" s="8" t="s">
        <v>827</v>
      </c>
      <c r="C13" s="8" t="s">
        <v>828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9" width="22.0"/>
    <col customWidth="1" min="10" max="26" width="8.63"/>
  </cols>
  <sheetData>
    <row r="1">
      <c r="A1" s="24" t="s">
        <v>829</v>
      </c>
      <c r="C1" s="24" t="s">
        <v>830</v>
      </c>
      <c r="E1" s="24" t="s">
        <v>831</v>
      </c>
      <c r="G1" s="24" t="s">
        <v>547</v>
      </c>
      <c r="I1" s="24" t="s">
        <v>832</v>
      </c>
    </row>
    <row r="2">
      <c r="A2" s="21" t="s">
        <v>40</v>
      </c>
      <c r="C2" s="21" t="s">
        <v>93</v>
      </c>
      <c r="E2" s="21" t="s">
        <v>512</v>
      </c>
      <c r="G2" s="21" t="s">
        <v>584</v>
      </c>
      <c r="I2" s="21" t="s">
        <v>590</v>
      </c>
    </row>
    <row r="3">
      <c r="A3" s="21" t="s">
        <v>42</v>
      </c>
      <c r="C3" s="21" t="s">
        <v>110</v>
      </c>
      <c r="E3" s="21" t="s">
        <v>127</v>
      </c>
      <c r="G3" s="21" t="s">
        <v>564</v>
      </c>
      <c r="I3" s="21" t="s">
        <v>591</v>
      </c>
    </row>
    <row r="4">
      <c r="A4" s="21" t="s">
        <v>44</v>
      </c>
      <c r="C4" s="21" t="s">
        <v>127</v>
      </c>
      <c r="E4" s="21" t="s">
        <v>110</v>
      </c>
      <c r="G4" s="21" t="s">
        <v>585</v>
      </c>
      <c r="I4" s="21" t="s">
        <v>596</v>
      </c>
    </row>
    <row r="5">
      <c r="A5" s="21" t="s">
        <v>46</v>
      </c>
      <c r="C5" s="21" t="s">
        <v>512</v>
      </c>
      <c r="E5" s="21" t="s">
        <v>93</v>
      </c>
      <c r="G5" s="21" t="s">
        <v>586</v>
      </c>
      <c r="I5" s="21" t="s">
        <v>608</v>
      </c>
    </row>
    <row r="6">
      <c r="A6" s="21" t="s">
        <v>48</v>
      </c>
      <c r="G6" s="21" t="s">
        <v>833</v>
      </c>
      <c r="I6" s="21" t="s">
        <v>592</v>
      </c>
    </row>
    <row r="7">
      <c r="A7" s="21" t="s">
        <v>50</v>
      </c>
      <c r="I7" s="21" t="s">
        <v>597</v>
      </c>
    </row>
    <row r="8">
      <c r="A8" s="21"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