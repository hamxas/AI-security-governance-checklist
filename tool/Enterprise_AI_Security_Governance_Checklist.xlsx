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6505bdfe5344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bcb5ed5a85a465e"/>
    <x:sheet xmlns:r="http://schemas.openxmlformats.org/officeDocument/2006/relationships" name="How to Use" sheetId="2" r:id="R2721ad61ea814895"/>
    <x:sheet xmlns:r="http://schemas.openxmlformats.org/officeDocument/2006/relationships" name="Control Checklist" sheetId="3" r:id="R8057316942ae4b38"/>
    <x:sheet xmlns:r="http://schemas.openxmlformats.org/officeDocument/2006/relationships" name="AI Asset Inventory" sheetId="4" r:id="R432677dab31c42e3"/>
    <x:sheet xmlns:r="http://schemas.openxmlformats.org/officeDocument/2006/relationships" name="Guardrails Matrix" sheetId="5" r:id="R1a4753406bb944e5"/>
    <x:sheet xmlns:r="http://schemas.openxmlformats.org/officeDocument/2006/relationships" name="Detection Library" sheetId="6" r:id="Rf32b66cc26bb4ed9"/>
    <x:sheet xmlns:r="http://schemas.openxmlformats.org/officeDocument/2006/relationships" name="Vendor Review" sheetId="7" r:id="R09d2c8a1611749d6"/>
    <x:sheet xmlns:r="http://schemas.openxmlformats.org/officeDocument/2006/relationships" name="Incident Playbook" sheetId="8" r:id="R2dfc8d0ec21040e6"/>
    <x:sheet xmlns:r="http://schemas.openxmlformats.org/officeDocument/2006/relationships" name="Reference Sources" sheetId="9" r:id="R119fa42af32744a6"/>
    <x:sheet xmlns:r="http://schemas.openxmlformats.org/officeDocument/2006/relationships" name="Settings" sheetId="10" r:id="R164dff04e7f544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3" fillId="4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ea5edb550c4529" /><Relationship Type="http://schemas.openxmlformats.org/officeDocument/2006/relationships/theme" Target="/xl/theme/theme1.xml" Id="R18add9d4c4c547b5" /><Relationship Type="http://schemas.openxmlformats.org/officeDocument/2006/relationships/sharedStrings" Target="/xl/sharedStrings.xml" Id="R001760566ef04ef9" /><Relationship Type="http://schemas.openxmlformats.org/officeDocument/2006/relationships/worksheet" Target="/xl/worksheets/sheet1.xml" Id="R2bcb5ed5a85a465e" /><Relationship Type="http://schemas.openxmlformats.org/officeDocument/2006/relationships/worksheet" Target="/xl/worksheets/sheet2.xml" Id="R2721ad61ea814895" /><Relationship Type="http://schemas.openxmlformats.org/officeDocument/2006/relationships/worksheet" Target="/xl/worksheets/sheet3.xml" Id="R8057316942ae4b38" /><Relationship Type="http://schemas.openxmlformats.org/officeDocument/2006/relationships/worksheet" Target="/xl/worksheets/sheet4.xml" Id="R432677dab31c42e3" /><Relationship Type="http://schemas.openxmlformats.org/officeDocument/2006/relationships/worksheet" Target="/xl/worksheets/sheet5.xml" Id="R1a4753406bb944e5" /><Relationship Type="http://schemas.openxmlformats.org/officeDocument/2006/relationships/worksheet" Target="/xl/worksheets/sheet6.xml" Id="Rf32b66cc26bb4ed9" /><Relationship Type="http://schemas.openxmlformats.org/officeDocument/2006/relationships/worksheet" Target="/xl/worksheets/sheet7.xml" Id="R09d2c8a1611749d6" /><Relationship Type="http://schemas.openxmlformats.org/officeDocument/2006/relationships/worksheet" Target="/xl/worksheets/sheet8.xml" Id="R2dfc8d0ec21040e6" /><Relationship Type="http://schemas.openxmlformats.org/officeDocument/2006/relationships/worksheet" Target="/xl/worksheets/sheet9.xml" Id="R119fa42af32744a6" /><Relationship Type="http://schemas.openxmlformats.org/officeDocument/2006/relationships/worksheet" Target="/xl/worksheets/sheet10.xml" Id="R164dff04e7f5445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1298b1ec6034f2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Control Status Counts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'Dashboard'!$F$12:$F$18</c:f>
              <c:strCache>
                <c:ptCount val="0"/>
              </c:strCache>
            </c:strRef>
          </c:cat>
          <c:val>
            <c:numRef>
              <c:f>'Dashboard'!$G$12:$G$18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298b1ec6034f2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9" name="DomainSummaryTable" displayName="DomainSummaryTable" ref="A11:D23" headerRowCount="1">
  <x:tableColumns count="4">
    <x:tableColumn id="1" name="Domain"/>
    <x:tableColumn id="2" name="Control Count"/>
    <x:tableColumn id="3" name="Avg Score"/>
    <x:tableColumn id="4" name="Maturity Level"/>
  </x:tableColumns>
  <x:tableStyleInfo name="TableStyleMedium2" showRowStripes="1"/>
</x:table>
</file>

<file path=xl/tables/table2.xml><?xml version="1.0" encoding="utf-8"?>
<x:table xmlns:x="http://schemas.openxmlformats.org/spreadsheetml/2006/main" id="10" name="StatusCountsTable" displayName="StatusCountsTable" ref="F11:G18" headerRowCount="1">
  <x:tableColumns count="2">
    <x:tableColumn id="1" name="Status"/>
    <x:tableColumn id="2" name="Count"/>
  </x:tableColumns>
  <x:tableStyleInfo name="TableStyleMedium2" showRowStripes="1"/>
</x:table>
</file>

<file path=xl/tables/table3.xml><?xml version="1.0" encoding="utf-8"?>
<x:table xmlns:x="http://schemas.openxmlformats.org/spreadsheetml/2006/main" id="2" name="ScoringTable" displayName="ScoringTable" ref="A9:B15" headerRowCount="1">
  <x:tableColumns count="2">
    <x:tableColumn id="1" name="Score"/>
    <x:tableColumn id="2" name="Meaning"/>
  </x:tableColumns>
  <x:tableStyleInfo name="TableStyleMedium2" showRowStripes="1"/>
</x:table>
</file>

<file path=xl/tables/table4.xml><?xml version="1.0" encoding="utf-8"?>
<x:table xmlns:x="http://schemas.openxmlformats.org/spreadsheetml/2006/main" id="3" name="ControlChecklistTable" displayName="ControlChecklistTable" ref="A1:N69" headerRowCount="1">
  <x:tableColumns count="14">
    <x:tableColumn id="1" name="Control ID"/>
    <x:tableColumn id="2" name="Domain"/>
    <x:tableColumn id="3" name="Control"/>
    <x:tableColumn id="4" name="Implementation Question"/>
    <x:tableColumn id="5" name="Risk Addressed"/>
    <x:tableColumn id="6" name="Framework Mapping"/>
    <x:tableColumn id="7" name="Evidence to Collect"/>
    <x:tableColumn id="8" name="Owner"/>
    <x:tableColumn id="9" name="Priority"/>
    <x:tableColumn id="10" name="Status"/>
    <x:tableColumn id="11" name="Score"/>
    <x:tableColumn id="12" name="Target Date"/>
    <x:tableColumn id="13" name="Notes"/>
    <x:tableColumn id="14" name="Source URL"/>
  </x:tableColumns>
  <x:tableStyleInfo name="TableStyleMedium2" showRowStripes="1"/>
</x:table>
</file>

<file path=xl/tables/table5.xml><?xml version="1.0" encoding="utf-8"?>
<x:table xmlns:x="http://schemas.openxmlformats.org/spreadsheetml/2006/main" id="4" name="AIAssetInventoryTable" displayName="AIAssetInventoryTable" ref="A1:R50" headerRowCount="1">
  <x:tableColumns count="18">
    <x:tableColumn id="1" name="AI Asset ID"/>
    <x:tableColumn id="2" name="AI Use Case / Tool"/>
    <x:tableColumn id="3" name="Owner"/>
    <x:tableColumn id="4" name="Business Function"/>
    <x:tableColumn id="5" name="User Group"/>
    <x:tableColumn id="6" name="AI Type"/>
    <x:tableColumn id="7" name="Provider / Model"/>
    <x:tableColumn id="8" name="Internal or External"/>
    <x:tableColumn id="9" name="Data Classification"/>
    <x:tableColumn id="10" name="File Uploads?"/>
    <x:tableColumn id="11" name="RAG?"/>
    <x:tableColumn id="12" name="Agent / Tool Use?"/>
    <x:tableColumn id="13" name="Risk Tier"/>
    <x:tableColumn id="14" name="Current Controls"/>
    <x:tableColumn id="15" name="Key Gaps"/>
    <x:tableColumn id="16" name="Review Status"/>
    <x:tableColumn id="17" name="Next Review"/>
    <x:tableColumn id="18" name="Notes"/>
  </x:tableColumns>
  <x:tableStyleInfo name="TableStyleMedium2" showRowStripes="1"/>
</x:table>
</file>

<file path=xl/tables/table6.xml><?xml version="1.0" encoding="utf-8"?>
<x:table xmlns:x="http://schemas.openxmlformats.org/spreadsheetml/2006/main" id="5" name="GuardrailsMatrixTable" displayName="GuardrailsMatrixTable" ref="A1:H9" headerRowCount="1">
  <x:tableColumns count="8">
    <x:tableColumn id="1" name="Data / Use Case"/>
    <x:tableColumn id="2" name="Public"/>
    <x:tableColumn id="3" name="Internal"/>
    <x:tableColumn id="4" name="Confidential"/>
    <x:tableColumn id="5" name="Restricted"/>
    <x:tableColumn id="6" name="Secrets / Credentials"/>
    <x:tableColumn id="7" name="Recommended Control Pattern"/>
    <x:tableColumn id="8" name="Notes"/>
  </x:tableColumns>
  <x:tableStyleInfo name="TableStyleMedium2" showRowStripes="1"/>
</x:table>
</file>

<file path=xl/tables/table7.xml><?xml version="1.0" encoding="utf-8"?>
<x:table xmlns:x="http://schemas.openxmlformats.org/spreadsheetml/2006/main" id="6" name="DetectionLibraryTable" displayName="DetectionLibraryTable" ref="A1:K50" headerRowCount="1">
  <x:tableColumns count="11">
    <x:tableColumn id="1" name="Detection ID"/>
    <x:tableColumn id="2" name="Detection Use Case"/>
    <x:tableColumn id="3" name="Primary Log Sources"/>
    <x:tableColumn id="4" name="Logic / Signal"/>
    <x:tableColumn id="5" name="Severity"/>
    <x:tableColumn id="6" name="Response Action"/>
    <x:tableColumn id="7" name="Mapped Risk"/>
    <x:tableColumn id="8" name="Framework Mapping"/>
    <x:tableColumn id="9" name="Status"/>
    <x:tableColumn id="10" name="Owner"/>
    <x:tableColumn id="11" name="Notes"/>
  </x:tableColumns>
  <x:tableStyleInfo name="TableStyleMedium2" showRowStripes="1"/>
</x:table>
</file>

<file path=xl/tables/table8.xml><?xml version="1.0" encoding="utf-8"?>
<x:table xmlns:x="http://schemas.openxmlformats.org/spreadsheetml/2006/main" id="7" name="VendorReviewTable" displayName="VendorReviewTable" ref="A1:H50" headerRowCount="1">
  <x:tableColumns count="8">
    <x:tableColumn id="1" name="Question ID"/>
    <x:tableColumn id="2" name="Review Area"/>
    <x:tableColumn id="3" name="Question"/>
    <x:tableColumn id="4" name="Risk if Weak"/>
    <x:tableColumn id="5" name="Evidence / Expected Answer"/>
    <x:tableColumn id="6" name="Priority"/>
    <x:tableColumn id="7" name="Status"/>
    <x:tableColumn id="8" name="Notes"/>
  </x:tableColumns>
  <x:tableStyleInfo name="TableStyleMedium2" showRowStripes="1"/>
</x:table>
</file>

<file path=xl/tables/table9.xml><?xml version="1.0" encoding="utf-8"?>
<x:table xmlns:x="http://schemas.openxmlformats.org/spreadsheetml/2006/main" id="8" name="IncidentPlaybookTable" displayName="IncidentPlaybookTable" ref="A1:F9" headerRowCount="1">
  <x:tableColumns count="6">
    <x:tableColumn id="1" name="Phase"/>
    <x:tableColumn id="2" name="Step"/>
    <x:tableColumn id="3" name="Action"/>
    <x:tableColumn id="4" name="Owner"/>
    <x:tableColumn id="5" name="Evidence / Logs"/>
    <x:tableColumn id="6" name="Notes"/>
  </x:tableColumns>
  <x:tableStyleInfo name="TableStyleMedium2" showRowStripes="1"/>
</x:table>
</file>

<file path=xl/tables/table10.xml><?xml version="1.0" encoding="utf-8"?>
<x:table xmlns:x="http://schemas.openxmlformats.org/spreadsheetml/2006/main" id="1" name="ReferenceSourcesTable" displayName="ReferenceSourcesTable" ref="A1:C9" headerRowCount="1">
  <x:tableColumns count="3">
    <x:tableColumn id="1" name="Framework / Source"/>
    <x:tableColumn id="2" name="What it supports in this workbook"/>
    <x:tableColumn id="3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a5b48b308c443f3" /><Relationship Type="http://schemas.openxmlformats.org/officeDocument/2006/relationships/table" Target="/xl/tables/table1.xml" Id="R17d11201f9a5431a" /><Relationship Type="http://schemas.openxmlformats.org/officeDocument/2006/relationships/table" Target="/xl/tables/table2.xml" Id="Rc5949649184546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754c778064b94b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63ba9c70eea14b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4363a96635f64a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acc4be927e6644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2059095541ff45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f763f5fbf9224b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7fddf547f5f242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ca333cb936c340d4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6" max="6" width="26" hidden="0" customWidth="1"/>
    <x:col min="7" max="7" width="14" hidden="0" customWidth="1"/>
  </x:cols>
  <x:sheetData>
    <x:row r="1">
      <x:c r="A1" s="13" t="str">
        <x:v>Enterprise AI Security &amp; Governance Dashboard</x:v>
      </x:c>
      <x:c r="B1" t="str"/>
      <x:c r="C1" s="44" t="str"/>
      <x:c r="D1" t="str"/>
      <x:c r="E1" t="str"/>
      <x:c r="F1" t="str"/>
      <x:c r="G1" t="str"/>
      <x:c r="H1" t="str"/>
    </x:row>
    <x:row r="3">
      <x:c r="A3" s="6" t="str">
        <x:v>Metric</x:v>
      </x:c>
      <x:c r="B3" s="6" t="str">
        <x:v>Value</x:v>
      </x:c>
    </x:row>
    <x:row r="4">
      <x:c r="A4" s="20" t="str">
        <x:v>Total Controls</x:v>
      </x:c>
      <x:c r="B4" s="36" t="n">
        <x:f>COUNTA('Control Checklist'!$A$2:$A$69)</x:f>
        <x:v>68</x:v>
      </x:c>
    </x:row>
    <x:row r="5">
      <x:c r="A5" s="20" t="str">
        <x:v>Overall Maturity Score</x:v>
      </x:c>
      <x:c r="B5" s="36" t="n">
        <x:f>IFERROR(AVERAGEIF('Control Checklist'!$K$2:$K$69,"&gt;=0",'Control Checklist'!$K$2:$K$69),0)</x:f>
        <x:v>0</x:v>
      </x:c>
    </x:row>
    <x:row r="6">
      <x:c r="A6" s="20" t="str">
        <x:v>Critical Controls Implemented/Tested</x:v>
      </x:c>
      <x:c r="B6" s="36" t="n">
        <x:f>COUNTIFS('Control Checklist'!$I$2:$I$69,"Critical",'Control Checklist'!$K$2:$K$69,"&gt;=4")</x:f>
        <x:v>0</x:v>
      </x:c>
    </x:row>
    <x:row r="7">
      <x:c r="A7" s="20" t="str">
        <x:v>Controls Not Started</x:v>
      </x:c>
      <x:c r="B7" s="36" t="n">
        <x:f>COUNTIF('Control Checklist'!$J$2:$J$69,"Not Started")</x:f>
        <x:v>68</x:v>
      </x:c>
    </x:row>
    <x:row r="8">
      <x:c r="A8" s="20" t="str">
        <x:v>Last Updated</x:v>
      </x:c>
      <x:c r="B8" s="37" t="n">
        <x:v>46212.88226175926</x:v>
      </x:c>
    </x:row>
    <x:row r="11">
      <x:c r="A11" s="6" t="str">
        <x:v>Domain</x:v>
      </x:c>
      <x:c r="B11" s="6" t="str">
        <x:v>Control Count</x:v>
      </x:c>
      <x:c r="C11" s="6" t="str">
        <x:v>Avg Score</x:v>
      </x:c>
      <x:c r="D11" s="6" t="str">
        <x:v>Maturity Level</x:v>
      </x:c>
      <x:c r="F11" s="6" t="str">
        <x:v>Status</x:v>
      </x:c>
      <x:c r="G11" s="6" t="str">
        <x:v>Count</x:v>
      </x:c>
    </x:row>
    <x:row r="12">
      <x:c r="A12" s="26" t="str">
        <x:v>AI Use Case Inventory</x:v>
      </x:c>
      <x:c r="B12" s="26" t="n">
        <x:f>COUNTIF('Control Checklist'!$B$2:$B$69,A12)</x:f>
        <x:v>6</x:v>
      </x:c>
      <x:c r="C12" s="26" t="n">
        <x:f>IFERROR(AVERAGEIFS('Control Checklist'!$K$2:$K$69,'Control Checklist'!$B$2:$B$69,A12),0)</x:f>
        <x:v>0</x:v>
      </x:c>
      <x:c r="D12" s="26" t="str">
        <x:f>IF(C12&gt;=4,"Strong",IF(C12&gt;=3,"Good",IF(C12&gt;=2,"Developing",IF(C12&gt;=1,"Early","Not Started"))))</x:f>
        <x:v>Not Started</x:v>
      </x:c>
      <x:c r="F12" t="str">
        <x:v>Not Started</x:v>
      </x:c>
      <x:c r="G12" t="n">
        <x:f>COUNTIF('Control Checklist'!$J$2:$J$69,F12)</x:f>
        <x:v>68</x:v>
      </x:c>
    </x:row>
    <x:row r="13">
      <x:c r="A13" s="26" t="str">
        <x:v>Agentic AI Controls</x:v>
      </x:c>
      <x:c r="B13" s="26" t="n">
        <x:f>COUNTIF('Control Checklist'!$B$2:$B$69,A13)</x:f>
        <x:v>6</x:v>
      </x:c>
      <x:c r="C13" s="26" t="n">
        <x:f>IFERROR(AVERAGEIFS('Control Checklist'!$K$2:$K$69,'Control Checklist'!$B$2:$B$69,A13),0)</x:f>
        <x:v>0</x:v>
      </x:c>
      <x:c r="D13" s="26" t="str">
        <x:f>IF(C13&gt;=4,"Strong",IF(C13&gt;=3,"Good",IF(C13&gt;=2,"Developing",IF(C13&gt;=1,"Early","Not Started"))))</x:f>
        <x:v>Not Started</x:v>
      </x:c>
      <x:c r="F13" t="str">
        <x:v>Planned</x:v>
      </x:c>
      <x:c r="G13" t="n">
        <x:f>COUNTIF('Control Checklist'!$J$2:$J$69,F13)</x:f>
        <x:v>0</x:v>
      </x:c>
    </x:row>
    <x:row r="14">
      <x:c r="A14" s="26" t="str">
        <x:v>Approved AI Tools &amp; Access</x:v>
      </x:c>
      <x:c r="B14" s="26" t="n">
        <x:f>COUNTIF('Control Checklist'!$B$2:$B$69,A14)</x:f>
        <x:v>6</x:v>
      </x:c>
      <x:c r="C14" s="26" t="n">
        <x:f>IFERROR(AVERAGEIFS('Control Checklist'!$K$2:$K$69,'Control Checklist'!$B$2:$B$69,A14),0)</x:f>
        <x:v>0</x:v>
      </x:c>
      <x:c r="D14" s="26" t="str">
        <x:f>IF(C14&gt;=4,"Strong",IF(C14&gt;=3,"Good",IF(C14&gt;=2,"Developing",IF(C14&gt;=1,"Early","Not Started"))))</x:f>
        <x:v>Not Started</x:v>
      </x:c>
      <x:c r="F14" t="str">
        <x:v>Partial</x:v>
      </x:c>
      <x:c r="G14" t="n">
        <x:f>COUNTIF('Control Checklist'!$J$2:$J$69,F14)</x:f>
        <x:v>0</x:v>
      </x:c>
    </x:row>
    <x:row r="15">
      <x:c r="A15" s="26" t="str">
        <x:v>Data Classification &amp; Privacy</x:v>
      </x:c>
      <x:c r="B15" s="26" t="n">
        <x:f>COUNTIF('Control Checklist'!$B$2:$B$69,A15)</x:f>
        <x:v>6</x:v>
      </x:c>
      <x:c r="C15" s="26" t="n">
        <x:f>IFERROR(AVERAGEIFS('Control Checklist'!$K$2:$K$69,'Control Checklist'!$B$2:$B$69,A15),0)</x:f>
        <x:v>0</x:v>
      </x:c>
      <x:c r="D15" s="26" t="str">
        <x:f>IF(C15&gt;=4,"Strong",IF(C15&gt;=3,"Good",IF(C15&gt;=2,"Developing",IF(C15&gt;=1,"Early","Not Started"))))</x:f>
        <x:v>Not Started</x:v>
      </x:c>
      <x:c r="F15" t="str">
        <x:v>Implemented</x:v>
      </x:c>
      <x:c r="G15" t="n">
        <x:f>COUNTIF('Control Checklist'!$J$2:$J$69,F15)</x:f>
        <x:v>0</x:v>
      </x:c>
    </x:row>
    <x:row r="16">
      <x:c r="A16" s="26" t="str">
        <x:v>Governance &amp; Operating Model</x:v>
      </x:c>
      <x:c r="B16" s="26" t="n">
        <x:f>COUNTIF('Control Checklist'!$B$2:$B$69,A16)</x:f>
        <x:v>6</x:v>
      </x:c>
      <x:c r="C16" s="26" t="n">
        <x:f>IFERROR(AVERAGEIFS('Control Checklist'!$K$2:$K$69,'Control Checklist'!$B$2:$B$69,A16),0)</x:f>
        <x:v>0</x:v>
      </x:c>
      <x:c r="D16" s="26" t="str">
        <x:f>IF(C16&gt;=4,"Strong",IF(C16&gt;=3,"Good",IF(C16&gt;=2,"Developing",IF(C16&gt;=1,"Early","Not Started"))))</x:f>
        <x:v>Not Started</x:v>
      </x:c>
      <x:c r="F16" t="str">
        <x:v>Implemented &amp; Tested</x:v>
      </x:c>
      <x:c r="G16" t="n">
        <x:f>COUNTIF('Control Checklist'!$J$2:$J$69,F16)</x:f>
        <x:v>0</x:v>
      </x:c>
    </x:row>
    <x:row r="17">
      <x:c r="A17" s="26" t="str">
        <x:v>LLM Gateway &amp; Guardrails</x:v>
      </x:c>
      <x:c r="B17" s="26" t="n">
        <x:f>COUNTIF('Control Checklist'!$B$2:$B$69,A17)</x:f>
        <x:v>7</x:v>
      </x:c>
      <x:c r="C17" s="26" t="n">
        <x:f>IFERROR(AVERAGEIFS('Control Checklist'!$K$2:$K$69,'Control Checklist'!$B$2:$B$69,A17),0)</x:f>
        <x:v>0</x:v>
      </x:c>
      <x:c r="D17" s="26" t="str">
        <x:f>IF(C17&gt;=4,"Strong",IF(C17&gt;=3,"Good",IF(C17&gt;=2,"Developing",IF(C17&gt;=1,"Early","Not Started"))))</x:f>
        <x:v>Not Started</x:v>
      </x:c>
      <x:c r="F17" t="str">
        <x:v>Automated &amp; Monitored</x:v>
      </x:c>
      <x:c r="G17" t="n">
        <x:f>COUNTIF('Control Checklist'!$J$2:$J$69,F17)</x:f>
        <x:v>0</x:v>
      </x:c>
    </x:row>
    <x:row r="18">
      <x:c r="A18" s="26" t="str">
        <x:v>Legal &amp; Compliance</x:v>
      </x:c>
      <x:c r="B18" s="26" t="n">
        <x:f>COUNTIF('Control Checklist'!$B$2:$B$69,A18)</x:f>
        <x:v>4</x:v>
      </x:c>
      <x:c r="C18" s="26" t="n">
        <x:f>IFERROR(AVERAGEIFS('Control Checklist'!$K$2:$K$69,'Control Checklist'!$B$2:$B$69,A18),0)</x:f>
        <x:v>0</x:v>
      </x:c>
      <x:c r="D18" s="26" t="str">
        <x:f>IF(C18&gt;=4,"Strong",IF(C18&gt;=3,"Good",IF(C18&gt;=2,"Developing",IF(C18&gt;=1,"Early","Not Started"))))</x:f>
        <x:v>Not Started</x:v>
      </x:c>
      <x:c r="F18" t="str">
        <x:v>N/A</x:v>
      </x:c>
      <x:c r="G18" t="n">
        <x:f>COUNTIF('Control Checklist'!$J$2:$J$69,F18)</x:f>
        <x:v>0</x:v>
      </x:c>
    </x:row>
    <x:row r="19">
      <x:c r="A19" s="26" t="str">
        <x:v>Monitoring, Detection &amp; Response</x:v>
      </x:c>
      <x:c r="B19" s="26" t="n">
        <x:f>COUNTIF('Control Checklist'!$B$2:$B$69,A19)</x:f>
        <x:v>7</x:v>
      </x:c>
      <x:c r="C19" s="26" t="n">
        <x:f>IFERROR(AVERAGEIFS('Control Checklist'!$K$2:$K$69,'Control Checklist'!$B$2:$B$69,A19),0)</x:f>
        <x:v>0</x:v>
      </x:c>
      <x:c r="D19" s="26" t="str">
        <x:f>IF(C19&gt;=4,"Strong",IF(C19&gt;=3,"Good",IF(C19&gt;=2,"Developing",IF(C19&gt;=1,"Early","Not Started"))))</x:f>
        <x:v>Not Started</x:v>
      </x:c>
    </x:row>
    <x:row r="20">
      <x:c r="A20" s="26" t="str">
        <x:v>RAG &amp; Knowledge Controls</x:v>
      </x:c>
      <x:c r="B20" s="26" t="n">
        <x:f>COUNTIF('Control Checklist'!$B$2:$B$69,A20)</x:f>
        <x:v>5</x:v>
      </x:c>
      <x:c r="C20" s="26" t="n">
        <x:f>IFERROR(AVERAGEIFS('Control Checklist'!$K$2:$K$69,'Control Checklist'!$B$2:$B$69,A20),0)</x:f>
        <x:v>0</x:v>
      </x:c>
      <x:c r="D20" s="26" t="str">
        <x:f>IF(C20&gt;=4,"Strong",IF(C20&gt;=3,"Good",IF(C20&gt;=2,"Developing",IF(C20&gt;=1,"Early","Not Started"))))</x:f>
        <x:v>Not Started</x:v>
      </x:c>
    </x:row>
    <x:row r="21">
      <x:c r="A21" s="26" t="str">
        <x:v>Secure AI Development &amp; SDLC</x:v>
      </x:c>
      <x:c r="B21" s="26" t="n">
        <x:f>COUNTIF('Control Checklist'!$B$2:$B$69,A21)</x:f>
        <x:v>6</x:v>
      </x:c>
      <x:c r="C21" s="26" t="n">
        <x:f>IFERROR(AVERAGEIFS('Control Checklist'!$K$2:$K$69,'Control Checklist'!$B$2:$B$69,A21),0)</x:f>
        <x:v>0</x:v>
      </x:c>
      <x:c r="D21" s="26" t="str">
        <x:f>IF(C21&gt;=4,"Strong",IF(C21&gt;=3,"Good",IF(C21&gt;=2,"Developing",IF(C21&gt;=1,"Early","Not Started"))))</x:f>
        <x:v>Not Started</x:v>
      </x:c>
    </x:row>
    <x:row r="22">
      <x:c r="A22" s="26" t="str">
        <x:v>Training &amp; Change Management</x:v>
      </x:c>
      <x:c r="B22" s="26" t="n">
        <x:f>COUNTIF('Control Checklist'!$B$2:$B$69,A22)</x:f>
        <x:v>4</x:v>
      </x:c>
      <x:c r="C22" s="26" t="n">
        <x:f>IFERROR(AVERAGEIFS('Control Checklist'!$K$2:$K$69,'Control Checklist'!$B$2:$B$69,A22),0)</x:f>
        <x:v>0</x:v>
      </x:c>
      <x:c r="D22" s="26" t="str">
        <x:f>IF(C22&gt;=4,"Strong",IF(C22&gt;=3,"Good",IF(C22&gt;=2,"Developing",IF(C22&gt;=1,"Early","Not Started"))))</x:f>
        <x:v>Not Started</x:v>
      </x:c>
    </x:row>
    <x:row r="23">
      <x:c r="A23" s="26" t="str">
        <x:v>Vendor &amp; Third-Party Risk</x:v>
      </x:c>
      <x:c r="B23" s="26" t="n">
        <x:f>COUNTIF('Control Checklist'!$B$2:$B$69,A23)</x:f>
        <x:v>5</x:v>
      </x:c>
      <x:c r="C23" s="26" t="n">
        <x:f>IFERROR(AVERAGEIFS('Control Checklist'!$K$2:$K$69,'Control Checklist'!$B$2:$B$69,A23),0)</x:f>
        <x:v>0</x:v>
      </x:c>
      <x:c r="D23" s="26" t="str">
        <x:f>IF(C23&gt;=4,"Strong",IF(C23&gt;=3,"Good",IF(C23&gt;=2,"Developing",IF(C23&gt;=1,"Early","Not Started"))))</x:f>
        <x:v>Not Started</x:v>
      </x:c>
    </x:row>
  </x:sheetData>
  <x:mergeCells>
    <x:mergeCell ref="A1:H1"/>
  </x:mergeCells>
  <x:conditionalFormatting sqref="C12:C2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5a5b48b308c443f3"/>
  <x:tableParts count="2">
    <x:tablePart xmlns:r="http://schemas.openxmlformats.org/officeDocument/2006/relationships" r:id="R17d11201f9a5431a"/>
    <x:tablePart xmlns:r="http://schemas.openxmlformats.org/officeDocument/2006/relationships" r:id="Rc5949649184546e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>
      <x:c r="A1" s="13" t="str">
        <x:v>Enterprise AI Adoption Security &amp; Governance Checklist</x:v>
      </x:c>
      <x:c r="B1" t="str"/>
    </x:row>
    <x:row r="2">
      <x:c r="A2" s="20" t="str">
        <x:v>Purpose</x:v>
      </x:c>
      <x:c r="B2" s="26" t="str">
        <x:v>Use this workbook to assess whether an organization can adopt AI safely while controlling data leakage, Shadow AI, LLM application risks, agentic workflows, vendor risk, and incident response.</x:v>
      </x:c>
    </x:row>
    <x:row r="3">
      <x:c r="A3" s="20" t="str">
        <x:v>How to score controls</x:v>
      </x:c>
      <x:c r="B3" s="26" t="str">
        <x:v>Update the Status column in the Control Checklist. Scores are formula-driven: Not Started=0, Planned=1, Partial=2, Implemented=3, Implemented &amp; Tested=4, Automated &amp; Monitored=5, N/A excluded.</x:v>
      </x:c>
    </x:row>
    <x:row r="4">
      <x:c r="A4" s="20" t="str">
        <x:v>Suggested workflow</x:v>
      </x:c>
      <x:c r="B4" s="26" t="str">
        <x:v>1) Fill AI Asset Inventory. 2) Review Guardrails Matrix. 3) Complete Control Checklist. 4) Add detections in Detection Library. 5) Review Dashboard for maturity gaps.</x:v>
      </x:c>
    </x:row>
    <x:row r="5">
      <x:c r="A5" s="20" t="str">
        <x:v>Target users</x:v>
      </x:c>
      <x:c r="B5" s="26" t="str">
        <x:v>Security architects, AppSec engineers, SOC/detection engineers, GRC, privacy, platform engineering, and AI product owners.</x:v>
      </x:c>
    </x:row>
    <x:row r="6">
      <x:c r="A6" s="20" t="str">
        <x:v>Important note</x:v>
      </x:c>
      <x:c r="B6" s="26" t="str">
        <x:v>This is an assessment and planning aid, not legal advice or a certification replacement. Validate regulatory obligations with legal/compliance teams.</x:v>
      </x:c>
    </x:row>
    <x:row r="9">
      <x:c r="A9" s="6" t="str">
        <x:v>Score</x:v>
      </x:c>
      <x:c r="B9" s="6" t="str">
        <x:v>Meaning</x:v>
      </x:c>
    </x:row>
    <x:row r="10">
      <x:c r="A10" s="28" t="n">
        <x:v>0</x:v>
      </x:c>
      <x:c r="B10" s="26" t="str">
        <x:v>Not implemented</x:v>
      </x:c>
    </x:row>
    <x:row r="11">
      <x:c r="A11" s="28" t="n">
        <x:v>1</x:v>
      </x:c>
      <x:c r="B11" s="26" t="str">
        <x:v>Planned but not implemented</x:v>
      </x:c>
    </x:row>
    <x:row r="12">
      <x:c r="A12" s="28" t="n">
        <x:v>2</x:v>
      </x:c>
      <x:c r="B12" s="26" t="str">
        <x:v>Partially implemented or inconsistent</x:v>
      </x:c>
    </x:row>
    <x:row r="13">
      <x:c r="A13" s="28" t="n">
        <x:v>3</x:v>
      </x:c>
      <x:c r="B13" s="26" t="str">
        <x:v>Implemented</x:v>
      </x:c>
    </x:row>
    <x:row r="14">
      <x:c r="A14" s="28" t="n">
        <x:v>4</x:v>
      </x:c>
      <x:c r="B14" s="26" t="str">
        <x:v>Implemented and tested</x:v>
      </x:c>
    </x:row>
    <x:row r="15">
      <x:c r="A15" s="28" t="n">
        <x:v>5</x:v>
      </x:c>
      <x:c r="B15" s="26" t="str">
        <x:v>Automated, monitored, and continuously improved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754c778064b94ba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30" hidden="0" customWidth="1"/>
    <x:col min="4" max="4" width="55" hidden="0" customWidth="1"/>
    <x:col min="5" max="5" width="34" hidden="0" customWidth="1"/>
    <x:col min="6" max="6" width="32" hidden="0" customWidth="1"/>
    <x:col min="7" max="7" width="38" hidden="0" customWidth="1"/>
    <x:col min="8" max="8" width="20" hidden="0" customWidth="1"/>
    <x:col min="9" max="9" width="12" hidden="0" customWidth="1"/>
    <x:col min="10" max="10" width="22" hidden="0" customWidth="1"/>
    <x:col min="11" max="11" width="9" hidden="0" customWidth="1"/>
    <x:col min="12" max="12" width="15" hidden="0" customWidth="1"/>
    <x:col min="13" max="13" width="30" hidden="0" customWidth="1"/>
    <x:col min="14" max="14" width="60" hidden="0" customWidth="1"/>
  </x:cols>
  <x:sheetData>
    <x:row r="1" ht="32" customHeight="1">
      <x:c r="A1" s="6" t="str">
        <x:v>Control ID</x:v>
      </x:c>
      <x:c r="B1" s="6" t="str">
        <x:v>Domain</x:v>
      </x:c>
      <x:c r="C1" s="6" t="str">
        <x:v>Control</x:v>
      </x:c>
      <x:c r="D1" s="6" t="str">
        <x:v>Implementation Question</x:v>
      </x:c>
      <x:c r="E1" s="6" t="str">
        <x:v>Risk Addressed</x:v>
      </x:c>
      <x:c r="F1" s="6" t="str">
        <x:v>Framework Mapping</x:v>
      </x:c>
      <x:c r="G1" s="6" t="str">
        <x:v>Evidence to Collect</x:v>
      </x:c>
      <x:c r="H1" s="6" t="str">
        <x:v>Owner</x:v>
      </x:c>
      <x:c r="I1" s="6" t="str">
        <x:v>Priority</x:v>
      </x:c>
      <x:c r="J1" s="6" t="str">
        <x:v>Status</x:v>
      </x:c>
      <x:c r="K1" s="6" t="str">
        <x:v>Score</x:v>
      </x:c>
      <x:c r="L1" s="6" t="str">
        <x:v>Target Date</x:v>
      </x:c>
      <x:c r="M1" s="6" t="str">
        <x:v>Notes</x:v>
      </x:c>
      <x:c r="N1" s="6" t="str">
        <x:v>Source URL</x:v>
      </x:c>
    </x:row>
    <x:row r="2">
      <x:c r="A2" s="26" t="str">
        <x:v>GOV-01</x:v>
      </x:c>
      <x:c r="B2" s="26" t="str">
        <x:v>Governance &amp; Operating Model</x:v>
      </x:c>
      <x:c r="C2" s="26" t="str">
        <x:v>AI governance ownership</x:v>
      </x:c>
      <x:c r="D2" s="26" t="str">
        <x:v>Is there a named executive owner and accountable AI risk forum for enterprise AI adoption?</x:v>
      </x:c>
      <x:c r="E2" s="26" t="str">
        <x:v>Unclear accountability and uncontrolled AI adoption</x:v>
      </x:c>
      <x:c r="F2" s="26" t="str">
        <x:v>NIST AI RMF Govern; ISO/IEC 42001 AIMS governance</x:v>
      </x:c>
      <x:c r="G2" s="26" t="str">
        <x:v>AI governance charter, RACI, steering forum minutes</x:v>
      </x:c>
      <x:c r="H2" s="26" t="str">
        <x:v>CISO / AI Governance Lead</x:v>
      </x:c>
      <x:c r="I2" s="26" t="str">
        <x:v>Critical</x:v>
      </x:c>
      <x:c r="J2" s="26" t="str">
        <x:v>Not Started</x:v>
      </x:c>
      <x:c r="K2" s="26" t="n">
        <x:f>IF(J2="N/A","",IF(J2="Not Started",0,IF(J2="Planned",1,IF(J2="Partial",2,IF(J2="Implemented",3,IF(J2="Implemented &amp; Tested",4,IF(J2="Automated &amp; Monitored",5,"")))))))</x:f>
        <x:v>0</x:v>
      </x:c>
      <x:c r="L2" s="26" t="str"/>
      <x:c r="M2" s="26" t="str"/>
      <x:c r="N2" s="26" t="str">
        <x:v>https://www.nist.gov/itl/ai-risk-management-framework</x:v>
      </x:c>
    </x:row>
    <x:row r="3">
      <x:c r="A3" s="26" t="str">
        <x:v>GOV-02</x:v>
      </x:c>
      <x:c r="B3" s="26" t="str">
        <x:v>Governance &amp; Operating Model</x:v>
      </x:c>
      <x:c r="C3" s="26" t="str">
        <x:v>AI acceptable use policy</x:v>
      </x:c>
      <x:c r="D3" s="26" t="str">
        <x:v>Is there a practical AI use policy defining approved tools, prohibited data, and escalation routes?</x:v>
      </x:c>
      <x:c r="E3" s="26" t="str">
        <x:v>Shadow AI, data leakage, misuse</x:v>
      </x:c>
      <x:c r="F3" s="26" t="str">
        <x:v>NIST AI RMF Govern; ISO/IEC 42001 policies</x:v>
      </x:c>
      <x:c r="G3" s="26" t="str">
        <x:v>Published policy, user attestation, comms evidence</x:v>
      </x:c>
      <x:c r="H3" s="26" t="str">
        <x:v>Security / Legal</x:v>
      </x:c>
      <x:c r="I3" s="26" t="str">
        <x:v>Critical</x:v>
      </x:c>
      <x:c r="J3" s="26" t="str">
        <x:v>Not Started</x:v>
      </x:c>
      <x:c r="K3" s="26" t="n">
        <x:f>IF(J3="N/A","",IF(J3="Not Started",0,IF(J3="Planned",1,IF(J3="Partial",2,IF(J3="Implemented",3,IF(J3="Implemented &amp; Tested",4,IF(J3="Automated &amp; Monitored",5,"")))))))</x:f>
        <x:v>0</x:v>
      </x:c>
      <x:c r="L3" s="26" t="str"/>
      <x:c r="M3" s="26" t="str"/>
      <x:c r="N3" s="26" t="str">
        <x:v>https://www.iso.org/standard/42001</x:v>
      </x:c>
    </x:row>
    <x:row r="4">
      <x:c r="A4" s="26" t="str">
        <x:v>GOV-03</x:v>
      </x:c>
      <x:c r="B4" s="26" t="str">
        <x:v>Governance &amp; Operating Model</x:v>
      </x:c>
      <x:c r="C4" s="26" t="str">
        <x:v>AI risk appetite</x:v>
      </x:c>
      <x:c r="D4" s="26" t="str">
        <x:v>Has leadership defined which AI risks are acceptable, conditional, or prohibited?</x:v>
      </x:c>
      <x:c r="E4" s="26" t="str">
        <x:v>Inconsistent decisions and uncontrolled exceptions</x:v>
      </x:c>
      <x:c r="F4" s="26" t="str">
        <x:v>NIST AI RMF Govern; ISO/IEC 23894</x:v>
      </x:c>
      <x:c r="G4" s="26" t="str">
        <x:v>Risk appetite statement, exception process</x:v>
      </x:c>
      <x:c r="H4" s="26" t="str">
        <x:v>Risk / Compliance</x:v>
      </x:c>
      <x:c r="I4" s="26" t="str">
        <x:v>High</x:v>
      </x:c>
      <x:c r="J4" s="26" t="str">
        <x:v>Not Started</x:v>
      </x:c>
      <x:c r="K4" s="26" t="n">
        <x:f>IF(J4="N/A","",IF(J4="Not Started",0,IF(J4="Planned",1,IF(J4="Partial",2,IF(J4="Implemented",3,IF(J4="Implemented &amp; Tested",4,IF(J4="Automated &amp; Monitored",5,"")))))))</x:f>
        <x:v>0</x:v>
      </x:c>
      <x:c r="L4" s="26" t="str"/>
      <x:c r="M4" s="26" t="str"/>
      <x:c r="N4" s="26" t="str">
        <x:v>https://www.iso.org/standard/77304.html</x:v>
      </x:c>
    </x:row>
    <x:row r="5">
      <x:c r="A5" s="26" t="str">
        <x:v>GOV-04</x:v>
      </x:c>
      <x:c r="B5" s="26" t="str">
        <x:v>Governance &amp; Operating Model</x:v>
      </x:c>
      <x:c r="C5" s="26" t="str">
        <x:v>AI control ownership</x:v>
      </x:c>
      <x:c r="D5" s="26" t="str">
        <x:v>Are control owners assigned for DLP, gateway, identity, SOC, AppSec, vendor risk, and privacy controls?</x:v>
      </x:c>
      <x:c r="E5" s="26" t="str">
        <x:v>Control gaps due to unclear ownership</x:v>
      </x:c>
      <x:c r="F5" s="26" t="str">
        <x:v>ISO/IEC 42001; CSA AICM</x:v>
      </x:c>
      <x:c r="G5" s="26" t="str">
        <x:v>Control owner register, RACI</x:v>
      </x:c>
      <x:c r="H5" s="26" t="str">
        <x:v>Security Leadership</x:v>
      </x:c>
      <x:c r="I5" s="26" t="str">
        <x:v>High</x:v>
      </x:c>
      <x:c r="J5" s="26" t="str">
        <x:v>Not Started</x:v>
      </x:c>
      <x:c r="K5" s="26" t="n">
        <x:f>IF(J5="N/A","",IF(J5="Not Started",0,IF(J5="Planned",1,IF(J5="Partial",2,IF(J5="Implemented",3,IF(J5="Implemented &amp; Tested",4,IF(J5="Automated &amp; Monitored",5,"")))))))</x:f>
        <x:v>0</x:v>
      </x:c>
      <x:c r="L5" s="26" t="str"/>
      <x:c r="M5" s="26" t="str"/>
      <x:c r="N5" s="26" t="str">
        <x:v>https://cloudsecurityalliance.org/artifacts/ai-controls-matrix-v1-1</x:v>
      </x:c>
    </x:row>
    <x:row r="6">
      <x:c r="A6" s="26" t="str">
        <x:v>GOV-05</x:v>
      </x:c>
      <x:c r="B6" s="26" t="str">
        <x:v>Governance &amp; Operating Model</x:v>
      </x:c>
      <x:c r="C6" s="26" t="str">
        <x:v>AI exception process</x:v>
      </x:c>
      <x:c r="D6" s="26" t="str">
        <x:v>Is there a documented exception process for high-risk AI use cases and blocked data types?</x:v>
      </x:c>
      <x:c r="E6" s="26" t="str">
        <x:v>Business bypasses controls without risk acceptance</x:v>
      </x:c>
      <x:c r="F6" s="26" t="str">
        <x:v>NIST AI RMF Manage; ISO/IEC 23894</x:v>
      </x:c>
      <x:c r="G6" s="26" t="str">
        <x:v>Risk acceptance records, approval workflow</x:v>
      </x:c>
      <x:c r="H6" s="26" t="str">
        <x:v>Risk / Security</x:v>
      </x:c>
      <x:c r="I6" s="26" t="str">
        <x:v>Medium</x:v>
      </x:c>
      <x:c r="J6" s="26" t="str">
        <x:v>Not Started</x:v>
      </x:c>
      <x:c r="K6" s="26" t="n">
        <x:f>IF(J6="N/A","",IF(J6="Not Started",0,IF(J6="Planned",1,IF(J6="Partial",2,IF(J6="Implemented",3,IF(J6="Implemented &amp; Tested",4,IF(J6="Automated &amp; Monitored",5,"")))))))</x:f>
        <x:v>0</x:v>
      </x:c>
      <x:c r="L6" s="26" t="str"/>
      <x:c r="M6" s="26" t="str"/>
      <x:c r="N6" s="26" t="str">
        <x:v>https://www.nist.gov/itl/ai-risk-management-framework</x:v>
      </x:c>
    </x:row>
    <x:row r="7">
      <x:c r="A7" s="26" t="str">
        <x:v>GOV-06</x:v>
      </x:c>
      <x:c r="B7" s="26" t="str">
        <x:v>Governance &amp; Operating Model</x:v>
      </x:c>
      <x:c r="C7" s="26" t="str">
        <x:v>AI metrics and reporting</x:v>
      </x:c>
      <x:c r="D7" s="26" t="str">
        <x:v>Are AI usage, risk, incidents, exceptions, and control maturity reported to leadership?</x:v>
      </x:c>
      <x:c r="E7" s="26" t="str">
        <x:v>Leadership lacks visibility into AI risk</x:v>
      </x:c>
      <x:c r="F7" s="26" t="str">
        <x:v>NIST AI RMF Govern/Manage; ISO/IEC 42001 monitoring</x:v>
      </x:c>
      <x:c r="G7" s="26" t="str">
        <x:v>Monthly dashboard, KRIs/KPIs</x:v>
      </x:c>
      <x:c r="H7" s="26" t="str">
        <x:v>Security Governance</x:v>
      </x:c>
      <x:c r="I7" s="26" t="str">
        <x:v>Medium</x:v>
      </x:c>
      <x:c r="J7" s="26" t="str">
        <x:v>Not Started</x:v>
      </x:c>
      <x:c r="K7" s="26" t="n">
        <x:f>IF(J7="N/A","",IF(J7="Not Started",0,IF(J7="Planned",1,IF(J7="Partial",2,IF(J7="Implemented",3,IF(J7="Implemented &amp; Tested",4,IF(J7="Automated &amp; Monitored",5,"")))))))</x:f>
        <x:v>0</x:v>
      </x:c>
      <x:c r="L7" s="26" t="str"/>
      <x:c r="M7" s="26" t="str"/>
      <x:c r="N7" s="26" t="str">
        <x:v>https://www.iso.org/standard/42001</x:v>
      </x:c>
    </x:row>
    <x:row r="8">
      <x:c r="A8" s="26" t="str">
        <x:v>INV-01</x:v>
      </x:c>
      <x:c r="B8" s="26" t="str">
        <x:v>AI Use Case Inventory</x:v>
      </x:c>
      <x:c r="C8" s="26" t="str">
        <x:v>AI use case inventory</x:v>
      </x:c>
      <x:c r="D8" s="26" t="str">
        <x:v>Is there an inventory of approved AI tools, internal AI apps, RAG systems, coding assistants, and agents?</x:v>
      </x:c>
      <x:c r="E8" s="26" t="str">
        <x:v>Unknown AI estate</x:v>
      </x:c>
      <x:c r="F8" s="26" t="str">
        <x:v>NIST AI RMF Map; ISO/IEC 23894</x:v>
      </x:c>
      <x:c r="G8" s="26" t="str">
        <x:v>AI asset register</x:v>
      </x:c>
      <x:c r="H8" s="26" t="str">
        <x:v>Security Architecture</x:v>
      </x:c>
      <x:c r="I8" s="26" t="str">
        <x:v>Critical</x:v>
      </x:c>
      <x:c r="J8" s="26" t="str">
        <x:v>Not Started</x:v>
      </x:c>
      <x:c r="K8" s="26" t="n">
        <x:f>IF(J8="N/A","",IF(J8="Not Started",0,IF(J8="Planned",1,IF(J8="Partial",2,IF(J8="Implemented",3,IF(J8="Implemented &amp; Tested",4,IF(J8="Automated &amp; Monitored",5,"")))))))</x:f>
        <x:v>0</x:v>
      </x:c>
      <x:c r="L8" s="26" t="str"/>
      <x:c r="M8" s="26" t="str"/>
      <x:c r="N8" s="26" t="str">
        <x:v>https://www.nist.gov/itl/ai-risk-management-framework</x:v>
      </x:c>
    </x:row>
    <x:row r="9">
      <x:c r="A9" s="26" t="str">
        <x:v>INV-02</x:v>
      </x:c>
      <x:c r="B9" s="26" t="str">
        <x:v>AI Use Case Inventory</x:v>
      </x:c>
      <x:c r="C9" s="26" t="str">
        <x:v>AI data flow mapping</x:v>
      </x:c>
      <x:c r="D9" s="26" t="str">
        <x:v>Are data inputs, outputs, storage, retention, and external model destinations documented for each AI use case?</x:v>
      </x:c>
      <x:c r="E9" s="26" t="str">
        <x:v>Unknown sensitive data exposure</x:v>
      </x:c>
      <x:c r="F9" s="26" t="str">
        <x:v>NIST AI RMF Map; ISO/IEC 23894</x:v>
      </x:c>
      <x:c r="G9" s="26" t="str">
        <x:v>Data flow diagrams, architecture docs</x:v>
      </x:c>
      <x:c r="H9" s="26" t="str">
        <x:v>Platform / Data</x:v>
      </x:c>
      <x:c r="I9" s="26" t="str">
        <x:v>Critical</x:v>
      </x:c>
      <x:c r="J9" s="26" t="str">
        <x:v>Not Started</x:v>
      </x:c>
      <x:c r="K9" s="26" t="n">
        <x:f>IF(J9="N/A","",IF(J9="Not Started",0,IF(J9="Planned",1,IF(J9="Partial",2,IF(J9="Implemented",3,IF(J9="Implemented &amp; Tested",4,IF(J9="Automated &amp; Monitored",5,"")))))))</x:f>
        <x:v>0</x:v>
      </x:c>
      <x:c r="L9" s="26" t="str"/>
      <x:c r="M9" s="26" t="str"/>
      <x:c r="N9" s="26" t="str">
        <x:v>https://www.iso.org/standard/77304.html</x:v>
      </x:c>
    </x:row>
    <x:row r="10">
      <x:c r="A10" s="26" t="str">
        <x:v>INV-03</x:v>
      </x:c>
      <x:c r="B10" s="26" t="str">
        <x:v>AI Use Case Inventory</x:v>
      </x:c>
      <x:c r="C10" s="26" t="str">
        <x:v>Model/provider register</x:v>
      </x:c>
      <x:c r="D10" s="26" t="str">
        <x:v>Are model providers, regions, retention settings, training-use terms, and contract status documented?</x:v>
      </x:c>
      <x:c r="E10" s="26" t="str">
        <x:v>Unapproved provider or unsafe data handling</x:v>
      </x:c>
      <x:c r="F10" s="26" t="str">
        <x:v>NIST AI RMF Map; Vendor risk</x:v>
      </x:c>
      <x:c r="G10" s="26" t="str">
        <x:v>Provider register, contract summary</x:v>
      </x:c>
      <x:c r="H10" s="26" t="str">
        <x:v>Procurement / Security</x:v>
      </x:c>
      <x:c r="I10" s="26" t="str">
        <x:v>High</x:v>
      </x:c>
      <x:c r="J10" s="26" t="str">
        <x:v>Not Started</x:v>
      </x:c>
      <x:c r="K10" s="26" t="n">
        <x:f>IF(J10="N/A","",IF(J10="Not Started",0,IF(J10="Planned",1,IF(J10="Partial",2,IF(J10="Implemented",3,IF(J10="Implemented &amp; Tested",4,IF(J10="Automated &amp; Monitored",5,"")))))))</x:f>
        <x:v>0</x:v>
      </x:c>
      <x:c r="L10" s="26" t="str"/>
      <x:c r="M10" s="26" t="str"/>
      <x:c r="N10" s="26" t="str">
        <x:v>https://www.nist.gov/publications/artificial-intelligence-risk-management-framework-generative-artificial-intelligence</x:v>
      </x:c>
    </x:row>
    <x:row r="11">
      <x:c r="A11" s="26" t="str">
        <x:v>INV-04</x:v>
      </x:c>
      <x:c r="B11" s="26" t="str">
        <x:v>AI Use Case Inventory</x:v>
      </x:c>
      <x:c r="C11" s="26" t="str">
        <x:v>Shadow AI discovery</x:v>
      </x:c>
      <x:c r="D11" s="26" t="str">
        <x:v>Are unapproved AI tools discovered through SWG/CASB/DNS/endpoint/SaaS expense data?</x:v>
      </x:c>
      <x:c r="E11" s="26" t="str">
        <x:v>Uncontrolled AI adoption and data leakage</x:v>
      </x:c>
      <x:c r="F11" s="26" t="str">
        <x:v>NIST AI RMF Measure; CSA AICM</x:v>
      </x:c>
      <x:c r="G11" s="26" t="str">
        <x:v>Shadow AI dashboard, SWG/CASB reports</x:v>
      </x:c>
      <x:c r="H11" s="26" t="str">
        <x:v>SOC / Security Engineering</x:v>
      </x:c>
      <x:c r="I11" s="26" t="str">
        <x:v>Critical</x:v>
      </x:c>
      <x:c r="J11" s="26" t="str">
        <x:v>Not Started</x:v>
      </x:c>
      <x:c r="K11" s="26" t="n">
        <x:f>IF(J11="N/A","",IF(J11="Not Started",0,IF(J11="Planned",1,IF(J11="Partial",2,IF(J11="Implemented",3,IF(J11="Implemented &amp; Tested",4,IF(J11="Automated &amp; Monitored",5,"")))))))</x:f>
        <x:v>0</x:v>
      </x:c>
      <x:c r="L11" s="26" t="str"/>
      <x:c r="M11" s="26" t="str"/>
      <x:c r="N11" s="26" t="str">
        <x:v>https://cloudsecurityalliance.org/artifacts/ai-controls-matrix-v1-1</x:v>
      </x:c>
    </x:row>
    <x:row r="12">
      <x:c r="A12" s="26" t="str">
        <x:v>INV-05</x:v>
      </x:c>
      <x:c r="B12" s="26" t="str">
        <x:v>AI Use Case Inventory</x:v>
      </x:c>
      <x:c r="C12" s="26" t="str">
        <x:v>Risk tiering</x:v>
      </x:c>
      <x:c r="D12" s="26" t="str">
        <x:v>Is every AI use case assigned a risk tier based on data sensitivity, user base, external exposure, autonomy, and impact?</x:v>
      </x:c>
      <x:c r="E12" s="26" t="str">
        <x:v>High-risk systems treated like low-risk tools</x:v>
      </x:c>
      <x:c r="F12" s="26" t="str">
        <x:v>NIST AI RMF Map/Measure; EU AI Act risk-based approach</x:v>
      </x:c>
      <x:c r="G12" s="26" t="str">
        <x:v>Risk tiering results</x:v>
      </x:c>
      <x:c r="H12" s="26" t="str">
        <x:v>Risk / Product Security</x:v>
      </x:c>
      <x:c r="I12" s="26" t="str">
        <x:v>High</x:v>
      </x:c>
      <x:c r="J12" s="26" t="str">
        <x:v>Not Started</x:v>
      </x:c>
      <x:c r="K12" s="26" t="n">
        <x:f>IF(J12="N/A","",IF(J12="Not Started",0,IF(J12="Planned",1,IF(J12="Partial",2,IF(J12="Implemented",3,IF(J12="Implemented &amp; Tested",4,IF(J12="Automated &amp; Monitored",5,"")))))))</x:f>
        <x:v>0</x:v>
      </x:c>
      <x:c r="L12" s="26" t="str"/>
      <x:c r="M12" s="26" t="str"/>
      <x:c r="N12" s="26" t="str">
        <x:v>https://digital-strategy.ec.europa.eu/en/policies/regulatory-framework-ai</x:v>
      </x:c>
    </x:row>
    <x:row r="13">
      <x:c r="A13" s="26" t="str">
        <x:v>INV-06</x:v>
      </x:c>
      <x:c r="B13" s="26" t="str">
        <x:v>AI Use Case Inventory</x:v>
      </x:c>
      <x:c r="C13" s="26" t="str">
        <x:v>Lifecycle status</x:v>
      </x:c>
      <x:c r="D13" s="26" t="str">
        <x:v>Is each AI asset tracked from prototype to production, retirement, and periodic review?</x:v>
      </x:c>
      <x:c r="E13" s="26" t="str">
        <x:v>Prototype AI becomes production without controls</x:v>
      </x:c>
      <x:c r="F13" s="26" t="str">
        <x:v>ISO/IEC 42001 lifecycle management</x:v>
      </x:c>
      <x:c r="G13" s="26" t="str">
        <x:v>Lifecycle register, review dates</x:v>
      </x:c>
      <x:c r="H13" s="26" t="str">
        <x:v>AI Product Owner</x:v>
      </x:c>
      <x:c r="I13" s="26" t="str">
        <x:v>Medium</x:v>
      </x:c>
      <x:c r="J13" s="26" t="str">
        <x:v>Not Started</x:v>
      </x:c>
      <x:c r="K13" s="26" t="n">
        <x:f>IF(J13="N/A","",IF(J13="Not Started",0,IF(J13="Planned",1,IF(J13="Partial",2,IF(J13="Implemented",3,IF(J13="Implemented &amp; Tested",4,IF(J13="Automated &amp; Monitored",5,"")))))))</x:f>
        <x:v>0</x:v>
      </x:c>
      <x:c r="L13" s="26" t="str"/>
      <x:c r="M13" s="26" t="str"/>
      <x:c r="N13" s="26" t="str">
        <x:v>https://www.iso.org/standard/42001</x:v>
      </x:c>
    </x:row>
    <x:row r="14">
      <x:c r="A14" s="26" t="str">
        <x:v>DAT-01</x:v>
      </x:c>
      <x:c r="B14" s="26" t="str">
        <x:v>Data Classification &amp; Privacy</x:v>
      </x:c>
      <x:c r="C14" s="26" t="str">
        <x:v>AI data classification rules</x:v>
      </x:c>
      <x:c r="D14" s="26" t="str">
        <x:v>Are data classes defined for AI use: public, internal, confidential, restricted, PII, source code, and secrets?</x:v>
      </x:c>
      <x:c r="E14" s="26" t="str">
        <x:v>Sensitive data misuse</x:v>
      </x:c>
      <x:c r="F14" s="26" t="str">
        <x:v>NIST AI RMF Govern/Map; ISO/IEC 42001</x:v>
      </x:c>
      <x:c r="G14" s="26" t="str">
        <x:v>Data handling standard</x:v>
      </x:c>
      <x:c r="H14" s="26" t="str">
        <x:v>Privacy / Security</x:v>
      </x:c>
      <x:c r="I14" s="26" t="str">
        <x:v>Critical</x:v>
      </x:c>
      <x:c r="J14" s="26" t="str">
        <x:v>Not Started</x:v>
      </x:c>
      <x:c r="K14" s="26" t="n">
        <x:f>IF(J14="N/A","",IF(J14="Not Started",0,IF(J14="Planned",1,IF(J14="Partial",2,IF(J14="Implemented",3,IF(J14="Implemented &amp; Tested",4,IF(J14="Automated &amp; Monitored",5,"")))))))</x:f>
        <x:v>0</x:v>
      </x:c>
      <x:c r="L14" s="26" t="str"/>
      <x:c r="M14" s="26" t="str"/>
      <x:c r="N14" s="26" t="str">
        <x:v>https://www.nist.gov/itl/ai-risk-management-framework</x:v>
      </x:c>
    </x:row>
    <x:row r="15">
      <x:c r="A15" s="26" t="str">
        <x:v>DAT-02</x:v>
      </x:c>
      <x:c r="B15" s="26" t="str">
        <x:v>Data Classification &amp; Privacy</x:v>
      </x:c>
      <x:c r="C15" s="26" t="str">
        <x:v>Prompt/file DLP scanning</x:v>
      </x:c>
      <x:c r="D15" s="26" t="str">
        <x:v>Are prompts and file uploads scanned before reaching external LLM providers?</x:v>
      </x:c>
      <x:c r="E15" s="26" t="str">
        <x:v>PII, customer data, source code, or secrets sent externally</x:v>
      </x:c>
      <x:c r="F15" s="26" t="str">
        <x:v>NIST GenAI Profile; CSA AICM</x:v>
      </x:c>
      <x:c r="G15" s="26" t="str">
        <x:v>DLP policy, test evidence, gateway logs</x:v>
      </x:c>
      <x:c r="H15" s="26" t="str">
        <x:v>DLP / Security Engineering</x:v>
      </x:c>
      <x:c r="I15" s="26" t="str">
        <x:v>Critical</x:v>
      </x:c>
      <x:c r="J15" s="26" t="str">
        <x:v>Not Started</x:v>
      </x:c>
      <x:c r="K15" s="26" t="n">
        <x:f>IF(J15="N/A","",IF(J15="Not Started",0,IF(J15="Planned",1,IF(J15="Partial",2,IF(J15="Implemented",3,IF(J15="Implemented &amp; Tested",4,IF(J15="Automated &amp; Monitored",5,"")))))))</x:f>
        <x:v>0</x:v>
      </x:c>
      <x:c r="L15" s="26" t="str"/>
      <x:c r="M15" s="26" t="str"/>
      <x:c r="N15" s="26" t="str">
        <x:v>https://www.nist.gov/publications/artificial-intelligence-risk-management-framework-generative-artificial-intelligence</x:v>
      </x:c>
    </x:row>
    <x:row r="16">
      <x:c r="A16" s="26" t="str">
        <x:v>DAT-03</x:v>
      </x:c>
      <x:c r="B16" s="26" t="str">
        <x:v>Data Classification &amp; Privacy</x:v>
      </x:c>
      <x:c r="C16" s="26" t="str">
        <x:v>Secrets blocking</x:v>
      </x:c>
      <x:c r="D16" s="26" t="str">
        <x:v>Are API keys, tokens, private keys, passwords, and credentials blocked and escalated for rotation?</x:v>
      </x:c>
      <x:c r="E16" s="26" t="str">
        <x:v>Credential leakage via AI prompts</x:v>
      </x:c>
      <x:c r="F16" s="26" t="str">
        <x:v>OWASP LLM06; NIST GenAI Profile</x:v>
      </x:c>
      <x:c r="G16" s="26" t="str">
        <x:v>Secret scanner config, rotation workflow</x:v>
      </x:c>
      <x:c r="H16" s="26" t="str">
        <x:v>Security Engineering</x:v>
      </x:c>
      <x:c r="I16" s="26" t="str">
        <x:v>Critical</x:v>
      </x:c>
      <x:c r="J16" s="26" t="str">
        <x:v>Not Started</x:v>
      </x:c>
      <x:c r="K16" s="26" t="n">
        <x:f>IF(J16="N/A","",IF(J16="Not Started",0,IF(J16="Planned",1,IF(J16="Partial",2,IF(J16="Implemented",3,IF(J16="Implemented &amp; Tested",4,IF(J16="Automated &amp; Monitored",5,"")))))))</x:f>
        <x:v>0</x:v>
      </x:c>
      <x:c r="L16" s="26" t="str"/>
      <x:c r="M16" s="26" t="str"/>
      <x:c r="N16" s="26" t="str">
        <x:v>https://genai.owasp.org/llm-top-10/</x:v>
      </x:c>
    </x:row>
    <x:row r="17">
      <x:c r="A17" s="26" t="str">
        <x:v>DAT-04</x:v>
      </x:c>
      <x:c r="B17" s="26" t="str">
        <x:v>Data Classification &amp; Privacy</x:v>
      </x:c>
      <x:c r="C17" s="26" t="str">
        <x:v>PII redaction/tokenization</x:v>
      </x:c>
      <x:c r="D17" s="26" t="str">
        <x:v>Can the approved AI path redact or tokenize PII before model submission where required?</x:v>
      </x:c>
      <x:c r="E17" s="26" t="str">
        <x:v>Privacy breach and regulatory exposure</x:v>
      </x:c>
      <x:c r="F17" s="26" t="str">
        <x:v>NIST GenAI Profile; ISO/IEC 23894</x:v>
      </x:c>
      <x:c r="G17" s="26" t="str">
        <x:v>Redaction rules, sample test results</x:v>
      </x:c>
      <x:c r="H17" s="26" t="str">
        <x:v>Privacy Engineering</x:v>
      </x:c>
      <x:c r="I17" s="26" t="str">
        <x:v>High</x:v>
      </x:c>
      <x:c r="J17" s="26" t="str">
        <x:v>Not Started</x:v>
      </x:c>
      <x:c r="K17" s="26" t="n">
        <x:f>IF(J17="N/A","",IF(J17="Not Started",0,IF(J17="Planned",1,IF(J17="Partial",2,IF(J17="Implemented",3,IF(J17="Implemented &amp; Tested",4,IF(J17="Automated &amp; Monitored",5,"")))))))</x:f>
        <x:v>0</x:v>
      </x:c>
      <x:c r="L17" s="26" t="str"/>
      <x:c r="M17" s="26" t="str"/>
      <x:c r="N17" s="26" t="str">
        <x:v>https://www.nist.gov/publications/artificial-intelligence-risk-management-framework-generative-artificial-intelligence</x:v>
      </x:c>
    </x:row>
    <x:row r="18">
      <x:c r="A18" s="26" t="str">
        <x:v>DAT-05</x:v>
      </x:c>
      <x:c r="B18" s="26" t="str">
        <x:v>Data Classification &amp; Privacy</x:v>
      </x:c>
      <x:c r="C18" s="26" t="str">
        <x:v>Data retention controls</x:v>
      </x:c>
      <x:c r="D18" s="26" t="str">
        <x:v>Are prompt, response, file upload, and model-provider retention settings defined and enforced?</x:v>
      </x:c>
      <x:c r="E18" s="26" t="str">
        <x:v>Sensitive logs retained too long</x:v>
      </x:c>
      <x:c r="F18" s="26" t="str">
        <x:v>ISO/IEC 42001; NIST AI RMF Govern</x:v>
      </x:c>
      <x:c r="G18" s="26" t="str">
        <x:v>Retention policy, provider settings</x:v>
      </x:c>
      <x:c r="H18" s="26" t="str">
        <x:v>Legal / Platform</x:v>
      </x:c>
      <x:c r="I18" s="26" t="str">
        <x:v>High</x:v>
      </x:c>
      <x:c r="J18" s="26" t="str">
        <x:v>Not Started</x:v>
      </x:c>
      <x:c r="K18" s="26" t="n">
        <x:f>IF(J18="N/A","",IF(J18="Not Started",0,IF(J18="Planned",1,IF(J18="Partial",2,IF(J18="Implemented",3,IF(J18="Implemented &amp; Tested",4,IF(J18="Automated &amp; Monitored",5,"")))))))</x:f>
        <x:v>0</x:v>
      </x:c>
      <x:c r="L18" s="26" t="str"/>
      <x:c r="M18" s="26" t="str"/>
      <x:c r="N18" s="26" t="str">
        <x:v>https://www.iso.org/standard/42001</x:v>
      </x:c>
    </x:row>
    <x:row r="19">
      <x:c r="A19" s="26" t="str">
        <x:v>DAT-06</x:v>
      </x:c>
      <x:c r="B19" s="26" t="str">
        <x:v>Data Classification &amp; Privacy</x:v>
      </x:c>
      <x:c r="C19" s="26" t="str">
        <x:v>Training-use prohibition</x:v>
      </x:c>
      <x:c r="D19" s="26" t="str">
        <x:v>Do contracts and configuration prevent company data from being used to train external models unless explicitly approved?</x:v>
      </x:c>
      <x:c r="E19" s="26" t="str">
        <x:v>Loss of confidential/IP data control</x:v>
      </x:c>
      <x:c r="F19" s="26" t="str">
        <x:v>NIST GenAI Profile; Vendor risk</x:v>
      </x:c>
      <x:c r="G19" s="26" t="str">
        <x:v>Contract clauses, admin settings</x:v>
      </x:c>
      <x:c r="H19" s="26" t="str">
        <x:v>Legal / Procurement</x:v>
      </x:c>
      <x:c r="I19" s="26" t="str">
        <x:v>Critical</x:v>
      </x:c>
      <x:c r="J19" s="26" t="str">
        <x:v>Not Started</x:v>
      </x:c>
      <x:c r="K19" s="26" t="n">
        <x:f>IF(J19="N/A","",IF(J19="Not Started",0,IF(J19="Planned",1,IF(J19="Partial",2,IF(J19="Implemented",3,IF(J19="Implemented &amp; Tested",4,IF(J19="Automated &amp; Monitored",5,"")))))))</x:f>
        <x:v>0</x:v>
      </x:c>
      <x:c r="L19" s="26" t="str"/>
      <x:c r="M19" s="26" t="str"/>
      <x:c r="N19" s="26" t="str">
        <x:v>https://www.nist.gov/publications/artificial-intelligence-risk-management-framework-generative-artificial-intelligence</x:v>
      </x:c>
    </x:row>
    <x:row r="20">
      <x:c r="A20" s="26" t="str">
        <x:v>ACC-01</x:v>
      </x:c>
      <x:c r="B20" s="26" t="str">
        <x:v>Approved AI Tools &amp; Access</x:v>
      </x:c>
      <x:c r="C20" s="26" t="str">
        <x:v>Approved AI tool catalogue</x:v>
      </x:c>
      <x:c r="D20" s="26" t="str">
        <x:v>Is there a maintained catalogue of approved AI tools and use cases?</x:v>
      </x:c>
      <x:c r="E20" s="26" t="str">
        <x:v>Users choose random unsafe AI tools</x:v>
      </x:c>
      <x:c r="F20" s="26" t="str">
        <x:v>NIST AI RMF Govern; ISO/IEC 42001</x:v>
      </x:c>
      <x:c r="G20" s="26" t="str">
        <x:v>Approved tools list, review dates</x:v>
      </x:c>
      <x:c r="H20" s="26" t="str">
        <x:v>Security Governance</x:v>
      </x:c>
      <x:c r="I20" s="26" t="str">
        <x:v>High</x:v>
      </x:c>
      <x:c r="J20" s="26" t="str">
        <x:v>Not Started</x:v>
      </x:c>
      <x:c r="K20" s="26" t="n">
        <x:f>IF(J20="N/A","",IF(J20="Not Started",0,IF(J20="Planned",1,IF(J20="Partial",2,IF(J20="Implemented",3,IF(J20="Implemented &amp; Tested",4,IF(J20="Automated &amp; Monitored",5,"")))))))</x:f>
        <x:v>0</x:v>
      </x:c>
      <x:c r="L20" s="26" t="str"/>
      <x:c r="M20" s="26" t="str"/>
      <x:c r="N20" s="26" t="str">
        <x:v>https://www.iso.org/standard/42001</x:v>
      </x:c>
    </x:row>
    <x:row r="21">
      <x:c r="A21" s="26" t="str">
        <x:v>ACC-02</x:v>
      </x:c>
      <x:c r="B21" s="26" t="str">
        <x:v>Approved AI Tools &amp; Access</x:v>
      </x:c>
      <x:c r="C21" s="26" t="str">
        <x:v>SSO and MFA for AI tools</x:v>
      </x:c>
      <x:c r="D21" s="26" t="str">
        <x:v>Are approved enterprise AI tools integrated with SSO, MFA, and central identity lifecycle?</x:v>
      </x:c>
      <x:c r="E21" s="26" t="str">
        <x:v>Account compromise or unmanaged access</x:v>
      </x:c>
      <x:c r="F21" s="26" t="str">
        <x:v>ISO/IEC 42001; CSA AICM</x:v>
      </x:c>
      <x:c r="G21" s="26" t="str">
        <x:v>SSO config, access logs</x:v>
      </x:c>
      <x:c r="H21" s="26" t="str">
        <x:v>IAM</x:v>
      </x:c>
      <x:c r="I21" s="26" t="str">
        <x:v>Critical</x:v>
      </x:c>
      <x:c r="J21" s="26" t="str">
        <x:v>Not Started</x:v>
      </x:c>
      <x:c r="K21" s="26" t="n">
        <x:f>IF(J21="N/A","",IF(J21="Not Started",0,IF(J21="Planned",1,IF(J21="Partial",2,IF(J21="Implemented",3,IF(J21="Implemented &amp; Tested",4,IF(J21="Automated &amp; Monitored",5,"")))))))</x:f>
        <x:v>0</x:v>
      </x:c>
      <x:c r="L21" s="26" t="str"/>
      <x:c r="M21" s="26" t="str"/>
      <x:c r="N21" s="26" t="str">
        <x:v>https://cloudsecurityalliance.org/artifacts/ai-controls-matrix-v1-1</x:v>
      </x:c>
    </x:row>
    <x:row r="22">
      <x:c r="A22" s="26" t="str">
        <x:v>ACC-03</x:v>
      </x:c>
      <x:c r="B22" s="26" t="str">
        <x:v>Approved AI Tools &amp; Access</x:v>
      </x:c>
      <x:c r="C22" s="26" t="str">
        <x:v>Role-based access</x:v>
      </x:c>
      <x:c r="D22" s="26" t="str">
        <x:v>Are AI capabilities such as file upload, code use, high-capability models, and agents limited by role and risk?</x:v>
      </x:c>
      <x:c r="E22" s="26" t="str">
        <x:v>Over-privileged users and broad data exposure</x:v>
      </x:c>
      <x:c r="F22" s="26" t="str">
        <x:v>NIST AI RMF Manage; CSA AICM</x:v>
      </x:c>
      <x:c r="G22" s="26" t="str">
        <x:v>RBAC matrix, group membership</x:v>
      </x:c>
      <x:c r="H22" s="26" t="str">
        <x:v>IAM / Platform</x:v>
      </x:c>
      <x:c r="I22" s="26" t="str">
        <x:v>High</x:v>
      </x:c>
      <x:c r="J22" s="26" t="str">
        <x:v>Not Started</x:v>
      </x:c>
      <x:c r="K22" s="26" t="n">
        <x:f>IF(J22="N/A","",IF(J22="Not Started",0,IF(J22="Planned",1,IF(J22="Partial",2,IF(J22="Implemented",3,IF(J22="Implemented &amp; Tested",4,IF(J22="Automated &amp; Monitored",5,"")))))))</x:f>
        <x:v>0</x:v>
      </x:c>
      <x:c r="L22" s="26" t="str"/>
      <x:c r="M22" s="26" t="str"/>
      <x:c r="N22" s="26" t="str">
        <x:v>https://www.nist.gov/itl/ai-risk-management-framework</x:v>
      </x:c>
    </x:row>
    <x:row r="23">
      <x:c r="A23" s="26" t="str">
        <x:v>ACC-04</x:v>
      </x:c>
      <x:c r="B23" s="26" t="str">
        <x:v>Approved AI Tools &amp; Access</x:v>
      </x:c>
      <x:c r="C23" s="26" t="str">
        <x:v>OAuth app governance</x:v>
      </x:c>
      <x:c r="D23" s="26" t="str">
        <x:v>Are AI SaaS OAuth grants to Gmail, Drive, Slack, GitHub, M365, and Jira monitored and approved?</x:v>
      </x:c>
      <x:c r="E23" s="26" t="str">
        <x:v>AI tools gain excessive access to enterprise data</x:v>
      </x:c>
      <x:c r="F23" s="26" t="str">
        <x:v>NIST GenAI Profile; CSA AICM</x:v>
      </x:c>
      <x:c r="G23" s="26" t="str">
        <x:v>OAuth app review logs, blocked app list</x:v>
      </x:c>
      <x:c r="H23" s="26" t="str">
        <x:v>SaaS Security</x:v>
      </x:c>
      <x:c r="I23" s="26" t="str">
        <x:v>Critical</x:v>
      </x:c>
      <x:c r="J23" s="26" t="str">
        <x:v>Not Started</x:v>
      </x:c>
      <x:c r="K23" s="26" t="n">
        <x:f>IF(J23="N/A","",IF(J23="Not Started",0,IF(J23="Planned",1,IF(J23="Partial",2,IF(J23="Implemented",3,IF(J23="Implemented &amp; Tested",4,IF(J23="Automated &amp; Monitored",5,"")))))))</x:f>
        <x:v>0</x:v>
      </x:c>
      <x:c r="L23" s="26" t="str"/>
      <x:c r="M23" s="26" t="str"/>
      <x:c r="N23" s="26" t="str">
        <x:v>https://cloudsecurityalliance.org/artifacts/ai-controls-matrix-v1-1</x:v>
      </x:c>
    </x:row>
    <x:row r="24">
      <x:c r="A24" s="26" t="str">
        <x:v>ACC-05</x:v>
      </x:c>
      <x:c r="B24" s="26" t="str">
        <x:v>Approved AI Tools &amp; Access</x:v>
      </x:c>
      <x:c r="C24" s="26" t="str">
        <x:v>Browser extension control</x:v>
      </x:c>
      <x:c r="D24" s="26" t="str">
        <x:v>Are AI browser extensions inventoried, risk-rated, blocked or allowlisted?</x:v>
      </x:c>
      <x:c r="E24" s="26" t="str">
        <x:v>Extensions read emails, internal apps, clipboard, or credentials</x:v>
      </x:c>
      <x:c r="F24" s="26" t="str">
        <x:v>NIST AI RMF Measure; CSA AICM</x:v>
      </x:c>
      <x:c r="G24" s="26" t="str">
        <x:v>MDM/browser policy, extension inventory</x:v>
      </x:c>
      <x:c r="H24" s="26" t="str">
        <x:v>Endpoint / IT</x:v>
      </x:c>
      <x:c r="I24" s="26" t="str">
        <x:v>High</x:v>
      </x:c>
      <x:c r="J24" s="26" t="str">
        <x:v>Not Started</x:v>
      </x:c>
      <x:c r="K24" s="26" t="n">
        <x:f>IF(J24="N/A","",IF(J24="Not Started",0,IF(J24="Planned",1,IF(J24="Partial",2,IF(J24="Implemented",3,IF(J24="Implemented &amp; Tested",4,IF(J24="Automated &amp; Monitored",5,"")))))))</x:f>
        <x:v>0</x:v>
      </x:c>
      <x:c r="L24" s="26" t="str"/>
      <x:c r="M24" s="26" t="str"/>
      <x:c r="N24" s="26" t="str">
        <x:v>https://cloudsecurityalliance.org/artifacts/ai-controls-matrix-v1-1</x:v>
      </x:c>
    </x:row>
    <x:row r="25">
      <x:c r="A25" s="26" t="str">
        <x:v>ACC-06</x:v>
      </x:c>
      <x:c r="B25" s="26" t="str">
        <x:v>Approved AI Tools &amp; Access</x:v>
      </x:c>
      <x:c r="C25" s="26" t="str">
        <x:v>Unapproved AI restrictions</x:v>
      </x:c>
      <x:c r="D25" s="26" t="str">
        <x:v>Are personal/unapproved AI tools restricted through SWG/CASB after approved alternatives exist?</x:v>
      </x:c>
      <x:c r="E25" s="26" t="str">
        <x:v>Continued Shadow AI and data leakage</x:v>
      </x:c>
      <x:c r="F25" s="26" t="str">
        <x:v>NIST AI RMF Manage; CSA AICM</x:v>
      </x:c>
      <x:c r="G25" s="26" t="str">
        <x:v>SWG policy, block/warn rules</x:v>
      </x:c>
      <x:c r="H25" s="26" t="str">
        <x:v>Network Security</x:v>
      </x:c>
      <x:c r="I25" s="26" t="str">
        <x:v>High</x:v>
      </x:c>
      <x:c r="J25" s="26" t="str">
        <x:v>Not Started</x:v>
      </x:c>
      <x:c r="K25" s="26" t="n">
        <x:f>IF(J25="N/A","",IF(J25="Not Started",0,IF(J25="Planned",1,IF(J25="Partial",2,IF(J25="Implemented",3,IF(J25="Implemented &amp; Tested",4,IF(J25="Automated &amp; Monitored",5,"")))))))</x:f>
        <x:v>0</x:v>
      </x:c>
      <x:c r="L25" s="26" t="str"/>
      <x:c r="M25" s="26" t="str"/>
      <x:c r="N25" s="26" t="str">
        <x:v>https://cloudsecurityalliance.org/artifacts/ai-controls-matrix-v1-1</x:v>
      </x:c>
    </x:row>
    <x:row r="26">
      <x:c r="A26" s="26" t="str">
        <x:v>GW-01</x:v>
      </x:c>
      <x:c r="B26" s="26" t="str">
        <x:v>LLM Gateway &amp; Guardrails</x:v>
      </x:c>
      <x:c r="C26" s="26" t="str">
        <x:v>Central LLM gateway</x:v>
      </x:c>
      <x:c r="D26" s="26" t="str">
        <x:v>Is there a central approved route for internal apps/developers to access external models?</x:v>
      </x:c>
      <x:c r="E26" s="26" t="str">
        <x:v>Fragmented API keys, no logs, no controls</x:v>
      </x:c>
      <x:c r="F26" s="26" t="str">
        <x:v>NIST GenAI Profile; CSA AICM</x:v>
      </x:c>
      <x:c r="G26" s="26" t="str">
        <x:v>Gateway architecture, endpoint inventory</x:v>
      </x:c>
      <x:c r="H26" s="26" t="str">
        <x:v>Platform Security</x:v>
      </x:c>
      <x:c r="I26" s="26" t="str">
        <x:v>Critical</x:v>
      </x:c>
      <x:c r="J26" s="26" t="str">
        <x:v>Not Started</x:v>
      </x:c>
      <x:c r="K26" s="26" t="n">
        <x:f>IF(J26="N/A","",IF(J26="Not Started",0,IF(J26="Planned",1,IF(J26="Partial",2,IF(J26="Implemented",3,IF(J26="Implemented &amp; Tested",4,IF(J26="Automated &amp; Monitored",5,"")))))))</x:f>
        <x:v>0</x:v>
      </x:c>
      <x:c r="L26" s="26" t="str"/>
      <x:c r="M26" s="26" t="str"/>
      <x:c r="N26" s="26" t="str">
        <x:v>https://www.nist.gov/publications/artificial-intelligence-risk-management-framework-generative-artificial-intelligence</x:v>
      </x:c>
    </x:row>
    <x:row r="27">
      <x:c r="A27" s="26" t="str">
        <x:v>GW-02</x:v>
      </x:c>
      <x:c r="B27" s="26" t="str">
        <x:v>LLM Gateway &amp; Guardrails</x:v>
      </x:c>
      <x:c r="C27" s="26" t="str">
        <x:v>Model allowlist and routing</x:v>
      </x:c>
      <x:c r="D27" s="26" t="str">
        <x:v>Are models/providers allowlisted and routed based on use case, data sensitivity, region, and contract terms?</x:v>
      </x:c>
      <x:c r="E27" s="26" t="str">
        <x:v>Unapproved models used for sensitive data</x:v>
      </x:c>
      <x:c r="F27" s="26" t="str">
        <x:v>NIST AI RMF Govern/Manage</x:v>
      </x:c>
      <x:c r="G27" s="26" t="str">
        <x:v>Model routing policy</x:v>
      </x:c>
      <x:c r="H27" s="26" t="str">
        <x:v>AI Platform</x:v>
      </x:c>
      <x:c r="I27" s="26" t="str">
        <x:v>High</x:v>
      </x:c>
      <x:c r="J27" s="26" t="str">
        <x:v>Not Started</x:v>
      </x:c>
      <x:c r="K27" s="26" t="n">
        <x:f>IF(J27="N/A","",IF(J27="Not Started",0,IF(J27="Planned",1,IF(J27="Partial",2,IF(J27="Implemented",3,IF(J27="Implemented &amp; Tested",4,IF(J27="Automated &amp; Monitored",5,"")))))))</x:f>
        <x:v>0</x:v>
      </x:c>
      <x:c r="L27" s="26" t="str"/>
      <x:c r="M27" s="26" t="str"/>
      <x:c r="N27" s="26" t="str">
        <x:v>https://www.nist.gov/itl/ai-risk-management-framework</x:v>
      </x:c>
    </x:row>
    <x:row r="28">
      <x:c r="A28" s="26" t="str">
        <x:v>GW-03</x:v>
      </x:c>
      <x:c r="B28" s="26" t="str">
        <x:v>LLM Gateway &amp; Guardrails</x:v>
      </x:c>
      <x:c r="C28" s="26" t="str">
        <x:v>Prompt injection guardrails</x:v>
      </x:c>
      <x:c r="D28" s="26" t="str">
        <x:v>Are prompts and retrieved content checked for prompt injection and policy-bypass attempts?</x:v>
      </x:c>
      <x:c r="E28" s="26" t="str">
        <x:v>Instruction override, data exfiltration, unsafe behavior</x:v>
      </x:c>
      <x:c r="F28" s="26" t="str">
        <x:v>OWASP LLM01; MITRE ATLAS</x:v>
      </x:c>
      <x:c r="G28" s="26" t="str">
        <x:v>Test cases, guardrail logs</x:v>
      </x:c>
      <x:c r="H28" s="26" t="str">
        <x:v>AppSec / AI Security</x:v>
      </x:c>
      <x:c r="I28" s="26" t="str">
        <x:v>High</x:v>
      </x:c>
      <x:c r="J28" s="26" t="str">
        <x:v>Not Started</x:v>
      </x:c>
      <x:c r="K28" s="26" t="n">
        <x:f>IF(J28="N/A","",IF(J28="Not Started",0,IF(J28="Planned",1,IF(J28="Partial",2,IF(J28="Implemented",3,IF(J28="Implemented &amp; Tested",4,IF(J28="Automated &amp; Monitored",5,"")))))))</x:f>
        <x:v>0</x:v>
      </x:c>
      <x:c r="L28" s="26" t="str"/>
      <x:c r="M28" s="26" t="str"/>
      <x:c r="N28" s="26" t="str">
        <x:v>https://genai.owasp.org/llm-top-10/</x:v>
      </x:c>
    </x:row>
    <x:row r="29">
      <x:c r="A29" s="26" t="str">
        <x:v>GW-04</x:v>
      </x:c>
      <x:c r="B29" s="26" t="str">
        <x:v>LLM Gateway &amp; Guardrails</x:v>
      </x:c>
      <x:c r="C29" s="26" t="str">
        <x:v>Output filtering</x:v>
      </x:c>
      <x:c r="D29" s="26" t="str">
        <x:v>Are model responses scanned for sensitive data, unsafe instructions, or policy violations before returning to users/apps?</x:v>
      </x:c>
      <x:c r="E29" s="26" t="str">
        <x:v>Sensitive information disclosure or unsafe downstream use</x:v>
      </x:c>
      <x:c r="F29" s="26" t="str">
        <x:v>OWASP LLM02/LLM06; NIST GenAI Profile</x:v>
      </x:c>
      <x:c r="G29" s="26" t="str">
        <x:v>Output filter results, block logs</x:v>
      </x:c>
      <x:c r="H29" s="26" t="str">
        <x:v>AI Security</x:v>
      </x:c>
      <x:c r="I29" s="26" t="str">
        <x:v>High</x:v>
      </x:c>
      <x:c r="J29" s="26" t="str">
        <x:v>Not Started</x:v>
      </x:c>
      <x:c r="K29" s="26" t="n">
        <x:f>IF(J29="N/A","",IF(J29="Not Started",0,IF(J29="Planned",1,IF(J29="Partial",2,IF(J29="Implemented",3,IF(J29="Implemented &amp; Tested",4,IF(J29="Automated &amp; Monitored",5,"")))))))</x:f>
        <x:v>0</x:v>
      </x:c>
      <x:c r="L29" s="26" t="str"/>
      <x:c r="M29" s="26" t="str"/>
      <x:c r="N29" s="26" t="str">
        <x:v>https://genai.owasp.org/llm-top-10/</x:v>
      </x:c>
    </x:row>
    <x:row r="30">
      <x:c r="A30" s="26" t="str">
        <x:v>GW-05</x:v>
      </x:c>
      <x:c r="B30" s="26" t="str">
        <x:v>LLM Gateway &amp; Guardrails</x:v>
      </x:c>
      <x:c r="C30" s="26" t="str">
        <x:v>Prompt logging minimization</x:v>
      </x:c>
      <x:c r="D30" s="26" t="str">
        <x:v>Is logging designed to capture security metadata without unnecessarily storing sensitive prompt content?</x:v>
      </x:c>
      <x:c r="E30" s="26" t="str">
        <x:v>Security visibility conflicts with privacy</x:v>
      </x:c>
      <x:c r="F30" s="26" t="str">
        <x:v>NIST AI RMF Govern; ISO/IEC 42001</x:v>
      </x:c>
      <x:c r="G30" s="26" t="str">
        <x:v>Logging schema, retention decision</x:v>
      </x:c>
      <x:c r="H30" s="26" t="str">
        <x:v>Security / Privacy</x:v>
      </x:c>
      <x:c r="I30" s="26" t="str">
        <x:v>High</x:v>
      </x:c>
      <x:c r="J30" s="26" t="str">
        <x:v>Not Started</x:v>
      </x:c>
      <x:c r="K30" s="26" t="n">
        <x:f>IF(J30="N/A","",IF(J30="Not Started",0,IF(J30="Planned",1,IF(J30="Partial",2,IF(J30="Implemented",3,IF(J30="Implemented &amp; Tested",4,IF(J30="Automated &amp; Monitored",5,"")))))))</x:f>
        <x:v>0</x:v>
      </x:c>
      <x:c r="L30" s="26" t="str"/>
      <x:c r="M30" s="26" t="str"/>
      <x:c r="N30" s="26" t="str">
        <x:v>https://www.iso.org/standard/42001</x:v>
      </x:c>
    </x:row>
    <x:row r="31">
      <x:c r="A31" s="26" t="str">
        <x:v>GW-06</x:v>
      </x:c>
      <x:c r="B31" s="26" t="str">
        <x:v>LLM Gateway &amp; Guardrails</x:v>
      </x:c>
      <x:c r="C31" s="26" t="str">
        <x:v>Rate limits and cost controls</x:v>
      </x:c>
      <x:c r="D31" s="26" t="str">
        <x:v>Are per-user, per-app, and per-model rate limits and budgets enforced?</x:v>
      </x:c>
      <x:c r="E31" s="26" t="str">
        <x:v>Model DoS, runaway agent loops, excessive cost</x:v>
      </x:c>
      <x:c r="F31" s="26" t="str">
        <x:v>OWASP LLM04; CSA AICM</x:v>
      </x:c>
      <x:c r="G31" s="26" t="str">
        <x:v>Rate limit config, cost reports</x:v>
      </x:c>
      <x:c r="H31" s="26" t="str">
        <x:v>AI Platform</x:v>
      </x:c>
      <x:c r="I31" s="26" t="str">
        <x:v>Medium</x:v>
      </x:c>
      <x:c r="J31" s="26" t="str">
        <x:v>Not Started</x:v>
      </x:c>
      <x:c r="K31" s="26" t="n">
        <x:f>IF(J31="N/A","",IF(J31="Not Started",0,IF(J31="Planned",1,IF(J31="Partial",2,IF(J31="Implemented",3,IF(J31="Implemented &amp; Tested",4,IF(J31="Automated &amp; Monitored",5,"")))))))</x:f>
        <x:v>0</x:v>
      </x:c>
      <x:c r="L31" s="26" t="str"/>
      <x:c r="M31" s="26" t="str"/>
      <x:c r="N31" s="26" t="str">
        <x:v>https://genai.owasp.org/llm-top-10/</x:v>
      </x:c>
    </x:row>
    <x:row r="32">
      <x:c r="A32" s="26" t="str">
        <x:v>GW-07</x:v>
      </x:c>
      <x:c r="B32" s="26" t="str">
        <x:v>LLM Gateway &amp; Guardrails</x:v>
      </x:c>
      <x:c r="C32" s="26" t="str">
        <x:v>Human warning and coaching</x:v>
      </x:c>
      <x:c r="D32" s="26" t="str">
        <x:v>Does the approved AI path warn users when risky data or use cases are detected?</x:v>
      </x:c>
      <x:c r="E32" s="26" t="str">
        <x:v>Users repeat unsafe behavior due to lack of feedback</x:v>
      </x:c>
      <x:c r="F32" s="26" t="str">
        <x:v>NIST AI RMF Govern/Manage</x:v>
      </x:c>
      <x:c r="G32" s="26" t="str">
        <x:v>Warning messages, user feedback logs</x:v>
      </x:c>
      <x:c r="H32" s="26" t="str">
        <x:v>Security Awareness</x:v>
      </x:c>
      <x:c r="I32" s="26" t="str">
        <x:v>Medium</x:v>
      </x:c>
      <x:c r="J32" s="26" t="str">
        <x:v>Not Started</x:v>
      </x:c>
      <x:c r="K32" s="26" t="n">
        <x:f>IF(J32="N/A","",IF(J32="Not Started",0,IF(J32="Planned",1,IF(J32="Partial",2,IF(J32="Implemented",3,IF(J32="Implemented &amp; Tested",4,IF(J32="Automated &amp; Monitored",5,"")))))))</x:f>
        <x:v>0</x:v>
      </x:c>
      <x:c r="L32" s="26" t="str"/>
      <x:c r="M32" s="26" t="str"/>
      <x:c r="N32" s="26" t="str">
        <x:v>https://www.nist.gov/itl/ai-risk-management-framework</x:v>
      </x:c>
    </x:row>
    <x:row r="33">
      <x:c r="A33" s="26" t="str">
        <x:v>SDLC-01</x:v>
      </x:c>
      <x:c r="B33" s="26" t="str">
        <x:v>Secure AI Development &amp; SDLC</x:v>
      </x:c>
      <x:c r="C33" s="26" t="str">
        <x:v>AI threat modelling</x:v>
      </x:c>
      <x:c r="D33" s="26" t="str">
        <x:v>Are LLM/RAG/agentic features threat-modelled before production?</x:v>
      </x:c>
      <x:c r="E33" s="26" t="str">
        <x:v>Security flaws in design</x:v>
      </x:c>
      <x:c r="F33" s="26" t="str">
        <x:v>NIST AI RMF Map; OWASP LLM Top 10</x:v>
      </x:c>
      <x:c r="G33" s="26" t="str">
        <x:v>Threat model records</x:v>
      </x:c>
      <x:c r="H33" s="26" t="str">
        <x:v>AppSec</x:v>
      </x:c>
      <x:c r="I33" s="26" t="str">
        <x:v>Critical</x:v>
      </x:c>
      <x:c r="J33" s="26" t="str">
        <x:v>Not Started</x:v>
      </x:c>
      <x:c r="K33" s="26" t="n">
        <x:f>IF(J33="N/A","",IF(J33="Not Started",0,IF(J33="Planned",1,IF(J33="Partial",2,IF(J33="Implemented",3,IF(J33="Implemented &amp; Tested",4,IF(J33="Automated &amp; Monitored",5,"")))))))</x:f>
        <x:v>0</x:v>
      </x:c>
      <x:c r="L33" s="26" t="str"/>
      <x:c r="M33" s="26" t="str"/>
      <x:c r="N33" s="26" t="str">
        <x:v>https://genai.owasp.org/llm-top-10/</x:v>
      </x:c>
    </x:row>
    <x:row r="34">
      <x:c r="A34" s="26" t="str">
        <x:v>SDLC-02</x:v>
      </x:c>
      <x:c r="B34" s="26" t="str">
        <x:v>Secure AI Development &amp; SDLC</x:v>
      </x:c>
      <x:c r="C34" s="26" t="str">
        <x:v>AI security review gate</x:v>
      </x:c>
      <x:c r="D34" s="26" t="str">
        <x:v>Do AI features pass security/privacy review before launch based on risk tier?</x:v>
      </x:c>
      <x:c r="E34" s="26" t="str">
        <x:v>High-risk AI deployed without controls</x:v>
      </x:c>
      <x:c r="F34" s="26" t="str">
        <x:v>ISO/IEC 42001; NIST AI RMF Manage</x:v>
      </x:c>
      <x:c r="G34" s="26" t="str">
        <x:v>Security review approvals</x:v>
      </x:c>
      <x:c r="H34" s="26" t="str">
        <x:v>Product Security</x:v>
      </x:c>
      <x:c r="I34" s="26" t="str">
        <x:v>High</x:v>
      </x:c>
      <x:c r="J34" s="26" t="str">
        <x:v>Not Started</x:v>
      </x:c>
      <x:c r="K34" s="26" t="n">
        <x:f>IF(J34="N/A","",IF(J34="Not Started",0,IF(J34="Planned",1,IF(J34="Partial",2,IF(J34="Implemented",3,IF(J34="Implemented &amp; Tested",4,IF(J34="Automated &amp; Monitored",5,"")))))))</x:f>
        <x:v>0</x:v>
      </x:c>
      <x:c r="L34" s="26" t="str"/>
      <x:c r="M34" s="26" t="str"/>
      <x:c r="N34" s="26" t="str">
        <x:v>https://www.iso.org/standard/42001</x:v>
      </x:c>
    </x:row>
    <x:row r="35">
      <x:c r="A35" s="26" t="str">
        <x:v>SDLC-03</x:v>
      </x:c>
      <x:c r="B35" s="26" t="str">
        <x:v>Secure AI Development &amp; SDLC</x:v>
      </x:c>
      <x:c r="C35" s="26" t="str">
        <x:v>SAST/SCA/secrets for AI code</x:v>
      </x:c>
      <x:c r="D35" s="26" t="str">
        <x:v>Are AI app repos covered by SAST, SCA, secret scanning, and dependency review?</x:v>
      </x:c>
      <x:c r="E35" s="26" t="str">
        <x:v>Supply chain and code vulnerabilities</x:v>
      </x:c>
      <x:c r="F35" s="26" t="str">
        <x:v>OWASP LLM05; secure SDLC</x:v>
      </x:c>
      <x:c r="G35" s="26" t="str">
        <x:v>CI/CD results, scanner config</x:v>
      </x:c>
      <x:c r="H35" s="26" t="str">
        <x:v>AppSec / DevSecOps</x:v>
      </x:c>
      <x:c r="I35" s="26" t="str">
        <x:v>Critical</x:v>
      </x:c>
      <x:c r="J35" s="26" t="str">
        <x:v>Not Started</x:v>
      </x:c>
      <x:c r="K35" s="26" t="n">
        <x:f>IF(J35="N/A","",IF(J35="Not Started",0,IF(J35="Planned",1,IF(J35="Partial",2,IF(J35="Implemented",3,IF(J35="Implemented &amp; Tested",4,IF(J35="Automated &amp; Monitored",5,"")))))))</x:f>
        <x:v>0</x:v>
      </x:c>
      <x:c r="L35" s="26" t="str"/>
      <x:c r="M35" s="26" t="str"/>
      <x:c r="N35" s="26" t="str">
        <x:v>https://genai.owasp.org/llm-top-10/</x:v>
      </x:c>
    </x:row>
    <x:row r="36">
      <x:c r="A36" s="26" t="str">
        <x:v>SDLC-04</x:v>
      </x:c>
      <x:c r="B36" s="26" t="str">
        <x:v>Secure AI Development &amp; SDLC</x:v>
      </x:c>
      <x:c r="C36" s="26" t="str">
        <x:v>Prompt and system prompt management</x:v>
      </x:c>
      <x:c r="D36" s="26" t="str">
        <x:v>Are system prompts version-controlled, reviewed, and protected from unauthorized changes?</x:v>
      </x:c>
      <x:c r="E36" s="26" t="str">
        <x:v>Prompt tampering and inconsistent controls</x:v>
      </x:c>
      <x:c r="F36" s="26" t="str">
        <x:v>OWASP LLM01; NIST GenAI Profile</x:v>
      </x:c>
      <x:c r="G36" s="26" t="str">
        <x:v>Prompt repo, approvals</x:v>
      </x:c>
      <x:c r="H36" s="26" t="str">
        <x:v>AI Engineering</x:v>
      </x:c>
      <x:c r="I36" s="26" t="str">
        <x:v>Medium</x:v>
      </x:c>
      <x:c r="J36" s="26" t="str">
        <x:v>Not Started</x:v>
      </x:c>
      <x:c r="K36" s="26" t="n">
        <x:f>IF(J36="N/A","",IF(J36="Not Started",0,IF(J36="Planned",1,IF(J36="Partial",2,IF(J36="Implemented",3,IF(J36="Implemented &amp; Tested",4,IF(J36="Automated &amp; Monitored",5,"")))))))</x:f>
        <x:v>0</x:v>
      </x:c>
      <x:c r="L36" s="26" t="str"/>
      <x:c r="M36" s="26" t="str"/>
      <x:c r="N36" s="26" t="str">
        <x:v>https://www.nist.gov/publications/artificial-intelligence-risk-management-framework-generative-artificial-intelligence</x:v>
      </x:c>
    </x:row>
    <x:row r="37">
      <x:c r="A37" s="26" t="str">
        <x:v>SDLC-05</x:v>
      </x:c>
      <x:c r="B37" s="26" t="str">
        <x:v>Secure AI Development &amp; SDLC</x:v>
      </x:c>
      <x:c r="C37" s="26" t="str">
        <x:v>AI red team testing</x:v>
      </x:c>
      <x:c r="D37" s="26" t="str">
        <x:v>Are AI apps tested for prompt injection, data leakage, tool abuse, jailbreaks, and RAG poisoning?</x:v>
      </x:c>
      <x:c r="E37" s="26" t="str">
        <x:v>Unknown exploitable AI failure modes</x:v>
      </x:c>
      <x:c r="F37" s="26" t="str">
        <x:v>NIST GenAI Profile; MITRE ATLAS; OWASP</x:v>
      </x:c>
      <x:c r="G37" s="26" t="str">
        <x:v>Red team report, test cases</x:v>
      </x:c>
      <x:c r="H37" s="26" t="str">
        <x:v>AI Security / Red Team</x:v>
      </x:c>
      <x:c r="I37" s="26" t="str">
        <x:v>High</x:v>
      </x:c>
      <x:c r="J37" s="26" t="str">
        <x:v>Not Started</x:v>
      </x:c>
      <x:c r="K37" s="26" t="n">
        <x:f>IF(J37="N/A","",IF(J37="Not Started",0,IF(J37="Planned",1,IF(J37="Partial",2,IF(J37="Implemented",3,IF(J37="Implemented &amp; Tested",4,IF(J37="Automated &amp; Monitored",5,"")))))))</x:f>
        <x:v>0</x:v>
      </x:c>
      <x:c r="L37" s="26" t="str"/>
      <x:c r="M37" s="26" t="str"/>
      <x:c r="N37" s="26" t="str">
        <x:v>https://atlas.mitre.org/</x:v>
      </x:c>
    </x:row>
    <x:row r="38">
      <x:c r="A38" s="26" t="str">
        <x:v>SDLC-06</x:v>
      </x:c>
      <x:c r="B38" s="26" t="str">
        <x:v>Secure AI Development &amp; SDLC</x:v>
      </x:c>
      <x:c r="C38" s="26" t="str">
        <x:v>Insecure output handling checks</x:v>
      </x:c>
      <x:c r="D38" s="26" t="str">
        <x:v>Is model output treated as untrusted before being used in code, SQL, shell commands, HTML, or API calls?</x:v>
      </x:c>
      <x:c r="E38" s="26" t="str">
        <x:v>Downstream code execution, injection, XSS, unsafe automation</x:v>
      </x:c>
      <x:c r="F38" s="26" t="str">
        <x:v>OWASP LLM02</x:v>
      </x:c>
      <x:c r="G38" s="26" t="str">
        <x:v>Code review checklist, tests</x:v>
      </x:c>
      <x:c r="H38" s="26" t="str">
        <x:v>AppSec</x:v>
      </x:c>
      <x:c r="I38" s="26" t="str">
        <x:v>Critical</x:v>
      </x:c>
      <x:c r="J38" s="26" t="str">
        <x:v>Not Started</x:v>
      </x:c>
      <x:c r="K38" s="26" t="n">
        <x:f>IF(J38="N/A","",IF(J38="Not Started",0,IF(J38="Planned",1,IF(J38="Partial",2,IF(J38="Implemented",3,IF(J38="Implemented &amp; Tested",4,IF(J38="Automated &amp; Monitored",5,"")))))))</x:f>
        <x:v>0</x:v>
      </x:c>
      <x:c r="L38" s="26" t="str"/>
      <x:c r="M38" s="26" t="str"/>
      <x:c r="N38" s="26" t="str">
        <x:v>https://genai.owasp.org/llm-top-10/</x:v>
      </x:c>
    </x:row>
    <x:row r="39">
      <x:c r="A39" s="26" t="str">
        <x:v>RAG-01</x:v>
      </x:c>
      <x:c r="B39" s="26" t="str">
        <x:v>RAG &amp; Knowledge Controls</x:v>
      </x:c>
      <x:c r="C39" s="26" t="str">
        <x:v>RAG access control inheritance</x:v>
      </x:c>
      <x:c r="D39" s="26" t="str">
        <x:v>Does RAG retrieval respect source-system permissions for each user?</x:v>
      </x:c>
      <x:c r="E39" s="26" t="str">
        <x:v>Users retrieve documents they should not access</x:v>
      </x:c>
      <x:c r="F39" s="26" t="str">
        <x:v>OWASP LLM06; NIST AI RMF Map</x:v>
      </x:c>
      <x:c r="G39" s="26" t="str">
        <x:v>RAG ACL test results</x:v>
      </x:c>
      <x:c r="H39" s="26" t="str">
        <x:v>Data Platform</x:v>
      </x:c>
      <x:c r="I39" s="26" t="str">
        <x:v>Critical</x:v>
      </x:c>
      <x:c r="J39" s="26" t="str">
        <x:v>Not Started</x:v>
      </x:c>
      <x:c r="K39" s="26" t="n">
        <x:f>IF(J39="N/A","",IF(J39="Not Started",0,IF(J39="Planned",1,IF(J39="Partial",2,IF(J39="Implemented",3,IF(J39="Implemented &amp; Tested",4,IF(J39="Automated &amp; Monitored",5,"")))))))</x:f>
        <x:v>0</x:v>
      </x:c>
      <x:c r="L39" s="26" t="str"/>
      <x:c r="M39" s="26" t="str"/>
      <x:c r="N39" s="26" t="str">
        <x:v>https://genai.owasp.org/llm-top-10/</x:v>
      </x:c>
    </x:row>
    <x:row r="40">
      <x:c r="A40" s="26" t="str">
        <x:v>RAG-02</x:v>
      </x:c>
      <x:c r="B40" s="26" t="str">
        <x:v>RAG &amp; Knowledge Controls</x:v>
      </x:c>
      <x:c r="C40" s="26" t="str">
        <x:v>Knowledge base classification</x:v>
      </x:c>
      <x:c r="D40" s="26" t="str">
        <x:v>Are indexed documents classified and restricted before being exposed to RAG?</x:v>
      </x:c>
      <x:c r="E40" s="26" t="str">
        <x:v>Sensitive data appears in chatbot answers</x:v>
      </x:c>
      <x:c r="F40" s="26" t="str">
        <x:v>NIST GenAI Profile; ISO/IEC 23894</x:v>
      </x:c>
      <x:c r="G40" s="26" t="str">
        <x:v>Indexing rules, classification report</x:v>
      </x:c>
      <x:c r="H40" s="26" t="str">
        <x:v>Data Governance</x:v>
      </x:c>
      <x:c r="I40" s="26" t="str">
        <x:v>High</x:v>
      </x:c>
      <x:c r="J40" s="26" t="str">
        <x:v>Not Started</x:v>
      </x:c>
      <x:c r="K40" s="26" t="n">
        <x:f>IF(J40="N/A","",IF(J40="Not Started",0,IF(J40="Planned",1,IF(J40="Partial",2,IF(J40="Implemented",3,IF(J40="Implemented &amp; Tested",4,IF(J40="Automated &amp; Monitored",5,"")))))))</x:f>
        <x:v>0</x:v>
      </x:c>
      <x:c r="L40" s="26" t="str"/>
      <x:c r="M40" s="26" t="str"/>
      <x:c r="N40" s="26" t="str">
        <x:v>https://www.nist.gov/publications/artificial-intelligence-risk-management-framework-generative-artificial-intelligence</x:v>
      </x:c>
    </x:row>
    <x:row r="41">
      <x:c r="A41" s="26" t="str">
        <x:v>RAG-03</x:v>
      </x:c>
      <x:c r="B41" s="26" t="str">
        <x:v>RAG &amp; Knowledge Controls</x:v>
      </x:c>
      <x:c r="C41" s="26" t="str">
        <x:v>RAG poisoning controls</x:v>
      </x:c>
      <x:c r="D41" s="26" t="str">
        <x:v>Are document ingestion sources authenticated, approved, scanned, and monitored for poisoning?</x:v>
      </x:c>
      <x:c r="E41" s="26" t="str">
        <x:v>Malicious content manipulates model output</x:v>
      </x:c>
      <x:c r="F41" s="26" t="str">
        <x:v>OWASP LLM03; MITRE ATLAS</x:v>
      </x:c>
      <x:c r="G41" s="26" t="str">
        <x:v>Ingestion pipeline controls</x:v>
      </x:c>
      <x:c r="H41" s="26" t="str">
        <x:v>AI Platform / AppSec</x:v>
      </x:c>
      <x:c r="I41" s="26" t="str">
        <x:v>High</x:v>
      </x:c>
      <x:c r="J41" s="26" t="str">
        <x:v>Not Started</x:v>
      </x:c>
      <x:c r="K41" s="26" t="n">
        <x:f>IF(J41="N/A","",IF(J41="Not Started",0,IF(J41="Planned",1,IF(J41="Partial",2,IF(J41="Implemented",3,IF(J41="Implemented &amp; Tested",4,IF(J41="Automated &amp; Monitored",5,"")))))))</x:f>
        <x:v>0</x:v>
      </x:c>
      <x:c r="L41" s="26" t="str"/>
      <x:c r="M41" s="26" t="str"/>
      <x:c r="N41" s="26" t="str">
        <x:v>https://genai.owasp.org/llm-top-10/</x:v>
      </x:c>
    </x:row>
    <x:row r="42">
      <x:c r="A42" s="26" t="str">
        <x:v>RAG-04</x:v>
      </x:c>
      <x:c r="B42" s="26" t="str">
        <x:v>RAG &amp; Knowledge Controls</x:v>
      </x:c>
      <x:c r="C42" s="26" t="str">
        <x:v>Citation and provenance</x:v>
      </x:c>
      <x:c r="D42" s="26" t="str">
        <x:v>Do RAG responses show source references and confidence/provenance where appropriate?</x:v>
      </x:c>
      <x:c r="E42" s="26" t="str">
        <x:v>Users act on unsupported or hallucinated answers</x:v>
      </x:c>
      <x:c r="F42" s="26" t="str">
        <x:v>NIST GenAI Profile; NIST AI RMF Measure</x:v>
      </x:c>
      <x:c r="G42" s="26" t="str">
        <x:v>Response examples, evaluation results</x:v>
      </x:c>
      <x:c r="H42" s="26" t="str">
        <x:v>AI Product Owner</x:v>
      </x:c>
      <x:c r="I42" s="26" t="str">
        <x:v>Medium</x:v>
      </x:c>
      <x:c r="J42" s="26" t="str">
        <x:v>Not Started</x:v>
      </x:c>
      <x:c r="K42" s="26" t="n">
        <x:f>IF(J42="N/A","",IF(J42="Not Started",0,IF(J42="Planned",1,IF(J42="Partial",2,IF(J42="Implemented",3,IF(J42="Implemented &amp; Tested",4,IF(J42="Automated &amp; Monitored",5,"")))))))</x:f>
        <x:v>0</x:v>
      </x:c>
      <x:c r="L42" s="26" t="str"/>
      <x:c r="M42" s="26" t="str"/>
      <x:c r="N42" s="26" t="str">
        <x:v>https://www.nist.gov/publications/artificial-intelligence-risk-management-framework-generative-artificial-intelligence</x:v>
      </x:c>
    </x:row>
    <x:row r="43">
      <x:c r="A43" s="26" t="str">
        <x:v>RAG-05</x:v>
      </x:c>
      <x:c r="B43" s="26" t="str">
        <x:v>RAG &amp; Knowledge Controls</x:v>
      </x:c>
      <x:c r="C43" s="26" t="str">
        <x:v>RAG retrieval logging</x:v>
      </x:c>
      <x:c r="D43" s="26" t="str">
        <x:v>Are retrieved document IDs, source collections, and access decisions logged?</x:v>
      </x:c>
      <x:c r="E43" s="26" t="str">
        <x:v>Difficult investigation after data exposure</x:v>
      </x:c>
      <x:c r="F43" s="26" t="str">
        <x:v>NIST AI RMF Measure; CSA AICM</x:v>
      </x:c>
      <x:c r="G43" s="26" t="str">
        <x:v>RAG logs, SIEM fields</x:v>
      </x:c>
      <x:c r="H43" s="26" t="str">
        <x:v>AI Platform</x:v>
      </x:c>
      <x:c r="I43" s="26" t="str">
        <x:v>High</x:v>
      </x:c>
      <x:c r="J43" s="26" t="str">
        <x:v>Not Started</x:v>
      </x:c>
      <x:c r="K43" s="26" t="n">
        <x:f>IF(J43="N/A","",IF(J43="Not Started",0,IF(J43="Planned",1,IF(J43="Partial",2,IF(J43="Implemented",3,IF(J43="Implemented &amp; Tested",4,IF(J43="Automated &amp; Monitored",5,"")))))))</x:f>
        <x:v>0</x:v>
      </x:c>
      <x:c r="L43" s="26" t="str"/>
      <x:c r="M43" s="26" t="str"/>
      <x:c r="N43" s="26" t="str">
        <x:v>https://cloudsecurityalliance.org/artifacts/ai-controls-matrix-v1-1</x:v>
      </x:c>
    </x:row>
    <x:row r="44">
      <x:c r="A44" s="26" t="str">
        <x:v>AGT-01</x:v>
      </x:c>
      <x:c r="B44" s="26" t="str">
        <x:v>Agentic AI Controls</x:v>
      </x:c>
      <x:c r="C44" s="26" t="str">
        <x:v>Agent inventory</x:v>
      </x:c>
      <x:c r="D44" s="26" t="str">
        <x:v>Are all agents that can call tools, APIs, code, email, tickets, or databases inventoried?</x:v>
      </x:c>
      <x:c r="E44" s="26" t="str">
        <x:v>Unknown autonomous actions</x:v>
      </x:c>
      <x:c r="F44" s="26" t="str">
        <x:v>NIST AI RMF Map; MITRE ATLAS</x:v>
      </x:c>
      <x:c r="G44" s="26" t="str">
        <x:v>Agent register</x:v>
      </x:c>
      <x:c r="H44" s="26" t="str">
        <x:v>AI Platform</x:v>
      </x:c>
      <x:c r="I44" s="26" t="str">
        <x:v>Critical</x:v>
      </x:c>
      <x:c r="J44" s="26" t="str">
        <x:v>Not Started</x:v>
      </x:c>
      <x:c r="K44" s="26" t="n">
        <x:f>IF(J44="N/A","",IF(J44="Not Started",0,IF(J44="Planned",1,IF(J44="Partial",2,IF(J44="Implemented",3,IF(J44="Implemented &amp; Tested",4,IF(J44="Automated &amp; Monitored",5,"")))))))</x:f>
        <x:v>0</x:v>
      </x:c>
      <x:c r="L44" s="26" t="str"/>
      <x:c r="M44" s="26" t="str"/>
      <x:c r="N44" s="26" t="str">
        <x:v>https://atlas.mitre.org/</x:v>
      </x:c>
    </x:row>
    <x:row r="45">
      <x:c r="A45" s="26" t="str">
        <x:v>AGT-02</x:v>
      </x:c>
      <x:c r="B45" s="26" t="str">
        <x:v>Agentic AI Controls</x:v>
      </x:c>
      <x:c r="C45" s="26" t="str">
        <x:v>Tool permission model</x:v>
      </x:c>
      <x:c r="D45" s="26" t="str">
        <x:v>Are agent tools least-privilege, scoped to user/context, and separated by environment?</x:v>
      </x:c>
      <x:c r="E45" s="26" t="str">
        <x:v>Excessive agency and unauthorized actions</x:v>
      </x:c>
      <x:c r="F45" s="26" t="str">
        <x:v>OWASP LLM08; NIST GenAI Profile</x:v>
      </x:c>
      <x:c r="G45" s="26" t="str">
        <x:v>Tool permission matrix</x:v>
      </x:c>
      <x:c r="H45" s="26" t="str">
        <x:v>Platform Security</x:v>
      </x:c>
      <x:c r="I45" s="26" t="str">
        <x:v>Critical</x:v>
      </x:c>
      <x:c r="J45" s="26" t="str">
        <x:v>Not Started</x:v>
      </x:c>
      <x:c r="K45" s="26" t="n">
        <x:f>IF(J45="N/A","",IF(J45="Not Started",0,IF(J45="Planned",1,IF(J45="Partial",2,IF(J45="Implemented",3,IF(J45="Implemented &amp; Tested",4,IF(J45="Automated &amp; Monitored",5,"")))))))</x:f>
        <x:v>0</x:v>
      </x:c>
      <x:c r="L45" s="26" t="str"/>
      <x:c r="M45" s="26" t="str"/>
      <x:c r="N45" s="26" t="str">
        <x:v>https://genai.owasp.org/llm-top-10/</x:v>
      </x:c>
    </x:row>
    <x:row r="46">
      <x:c r="A46" s="26" t="str">
        <x:v>AGT-03</x:v>
      </x:c>
      <x:c r="B46" s="26" t="str">
        <x:v>Agentic AI Controls</x:v>
      </x:c>
      <x:c r="C46" s="26" t="str">
        <x:v>Human approval gates</x:v>
      </x:c>
      <x:c r="D46" s="26" t="str">
        <x:v>Do high-risk agent actions require human approval before execution?</x:v>
      </x:c>
      <x:c r="E46" s="26" t="str">
        <x:v>Unauthorized email, data export, cloud changes, production impact</x:v>
      </x:c>
      <x:c r="F46" s="26" t="str">
        <x:v>OWASP LLM08; NIST AI RMF Manage</x:v>
      </x:c>
      <x:c r="G46" s="26" t="str">
        <x:v>Approval workflow, audit logs</x:v>
      </x:c>
      <x:c r="H46" s="26" t="str">
        <x:v>AI Product / Security</x:v>
      </x:c>
      <x:c r="I46" s="26" t="str">
        <x:v>Critical</x:v>
      </x:c>
      <x:c r="J46" s="26" t="str">
        <x:v>Not Started</x:v>
      </x:c>
      <x:c r="K46" s="26" t="n">
        <x:f>IF(J46="N/A","",IF(J46="Not Started",0,IF(J46="Planned",1,IF(J46="Partial",2,IF(J46="Implemented",3,IF(J46="Implemented &amp; Tested",4,IF(J46="Automated &amp; Monitored",5,"")))))))</x:f>
        <x:v>0</x:v>
      </x:c>
      <x:c r="L46" s="26" t="str"/>
      <x:c r="M46" s="26" t="str"/>
      <x:c r="N46" s="26" t="str">
        <x:v>https://genai.owasp.org/llm-top-10/</x:v>
      </x:c>
    </x:row>
    <x:row r="47">
      <x:c r="A47" s="26" t="str">
        <x:v>AGT-04</x:v>
      </x:c>
      <x:c r="B47" s="26" t="str">
        <x:v>Agentic AI Controls</x:v>
      </x:c>
      <x:c r="C47" s="26" t="str">
        <x:v>Tool call logging</x:v>
      </x:c>
      <x:c r="D47" s="26" t="str">
        <x:v>Are agent plans, tool calls, parameters, results, and approvals logged for investigation?</x:v>
      </x:c>
      <x:c r="E47" s="26" t="str">
        <x:v>No audit trail for autonomous actions</x:v>
      </x:c>
      <x:c r="F47" s="26" t="str">
        <x:v>NIST AI RMF Measure; MITRE ATLAS</x:v>
      </x:c>
      <x:c r="G47" s="26" t="str">
        <x:v>Agent execution logs</x:v>
      </x:c>
      <x:c r="H47" s="26" t="str">
        <x:v>SOC / AI Platform</x:v>
      </x:c>
      <x:c r="I47" s="26" t="str">
        <x:v>High</x:v>
      </x:c>
      <x:c r="J47" s="26" t="str">
        <x:v>Not Started</x:v>
      </x:c>
      <x:c r="K47" s="26" t="n">
        <x:f>IF(J47="N/A","",IF(J47="Not Started",0,IF(J47="Planned",1,IF(J47="Partial",2,IF(J47="Implemented",3,IF(J47="Implemented &amp; Tested",4,IF(J47="Automated &amp; Monitored",5,"")))))))</x:f>
        <x:v>0</x:v>
      </x:c>
      <x:c r="L47" s="26" t="str"/>
      <x:c r="M47" s="26" t="str"/>
      <x:c r="N47" s="26" t="str">
        <x:v>https://atlas.mitre.org/</x:v>
      </x:c>
    </x:row>
    <x:row r="48">
      <x:c r="A48" s="26" t="str">
        <x:v>AGT-05</x:v>
      </x:c>
      <x:c r="B48" s="26" t="str">
        <x:v>Agentic AI Controls</x:v>
      </x:c>
      <x:c r="C48" s="26" t="str">
        <x:v>Agent loop controls</x:v>
      </x:c>
      <x:c r="D48" s="26" t="str">
        <x:v>Are execution time, recursion, token, cost, and action limits enforced?</x:v>
      </x:c>
      <x:c r="E48" s="26" t="str">
        <x:v>Runaway agents, DoS, cost spike</x:v>
      </x:c>
      <x:c r="F48" s="26" t="str">
        <x:v>OWASP LLM04/LLM08</x:v>
      </x:c>
      <x:c r="G48" s="26" t="str">
        <x:v>Runtime limits, alerts</x:v>
      </x:c>
      <x:c r="H48" s="26" t="str">
        <x:v>AI Platform</x:v>
      </x:c>
      <x:c r="I48" s="26" t="str">
        <x:v>High</x:v>
      </x:c>
      <x:c r="J48" s="26" t="str">
        <x:v>Not Started</x:v>
      </x:c>
      <x:c r="K48" s="26" t="n">
        <x:f>IF(J48="N/A","",IF(J48="Not Started",0,IF(J48="Planned",1,IF(J48="Partial",2,IF(J48="Implemented",3,IF(J48="Implemented &amp; Tested",4,IF(J48="Automated &amp; Monitored",5,"")))))))</x:f>
        <x:v>0</x:v>
      </x:c>
      <x:c r="L48" s="26" t="str"/>
      <x:c r="M48" s="26" t="str"/>
      <x:c r="N48" s="26" t="str">
        <x:v>https://genai.owasp.org/llm-top-10/</x:v>
      </x:c>
    </x:row>
    <x:row r="49">
      <x:c r="A49" s="26" t="str">
        <x:v>AGT-06</x:v>
      </x:c>
      <x:c r="B49" s="26" t="str">
        <x:v>Agentic AI Controls</x:v>
      </x:c>
      <x:c r="C49" s="26" t="str">
        <x:v>Production action restrictions</x:v>
      </x:c>
      <x:c r="D49" s="26" t="str">
        <x:v>Are agents restricted from direct production modifications unless explicitly approved and logged?</x:v>
      </x:c>
      <x:c r="E49" s="26" t="str">
        <x:v>Production outage or unauthorized change</x:v>
      </x:c>
      <x:c r="F49" s="26" t="str">
        <x:v>NIST AI RMF Manage; ISO/IEC 42001</x:v>
      </x:c>
      <x:c r="G49" s="26" t="str">
        <x:v>Change policy, technical controls</x:v>
      </x:c>
      <x:c r="H49" s="26" t="str">
        <x:v>Platform / Change Mgmt</x:v>
      </x:c>
      <x:c r="I49" s="26" t="str">
        <x:v>Critical</x:v>
      </x:c>
      <x:c r="J49" s="26" t="str">
        <x:v>Not Started</x:v>
      </x:c>
      <x:c r="K49" s="26" t="n">
        <x:f>IF(J49="N/A","",IF(J49="Not Started",0,IF(J49="Planned",1,IF(J49="Partial",2,IF(J49="Implemented",3,IF(J49="Implemented &amp; Tested",4,IF(J49="Automated &amp; Monitored",5,"")))))))</x:f>
        <x:v>0</x:v>
      </x:c>
      <x:c r="L49" s="26" t="str"/>
      <x:c r="M49" s="26" t="str"/>
      <x:c r="N49" s="26" t="str">
        <x:v>https://www.iso.org/standard/42001</x:v>
      </x:c>
    </x:row>
    <x:row r="50">
      <x:c r="A50" s="26" t="str">
        <x:v>DET-01</x:v>
      </x:c>
      <x:c r="B50" s="26" t="str">
        <x:v>Monitoring, Detection &amp; Response</x:v>
      </x:c>
      <x:c r="C50" s="26" t="str">
        <x:v>AI log onboarding</x:v>
      </x:c>
      <x:c r="D50" s="26" t="str">
        <x:v>Are LLM gateway, enterprise AI, CASB/SWG, DLP, OAuth, endpoint, and code repo logs onboarded to SIEM?</x:v>
      </x:c>
      <x:c r="E50" s="26" t="str">
        <x:v>No detection visibility</x:v>
      </x:c>
      <x:c r="F50" s="26" t="str">
        <x:v>NIST AI RMF Measure; CSA AICM</x:v>
      </x:c>
      <x:c r="G50" s="26" t="str">
        <x:v>SIEM data source list</x:v>
      </x:c>
      <x:c r="H50" s="26" t="str">
        <x:v>SOC Engineering</x:v>
      </x:c>
      <x:c r="I50" s="26" t="str">
        <x:v>Critical</x:v>
      </x:c>
      <x:c r="J50" s="26" t="str">
        <x:v>Not Started</x:v>
      </x:c>
      <x:c r="K50" s="26" t="n">
        <x:f>IF(J50="N/A","",IF(J50="Not Started",0,IF(J50="Planned",1,IF(J50="Partial",2,IF(J50="Implemented",3,IF(J50="Implemented &amp; Tested",4,IF(J50="Automated &amp; Monitored",5,"")))))))</x:f>
        <x:v>0</x:v>
      </x:c>
      <x:c r="L50" s="26" t="str"/>
      <x:c r="M50" s="26" t="str"/>
      <x:c r="N50" s="26" t="str">
        <x:v>https://cloudsecurityalliance.org/artifacts/ai-controls-matrix-v1-1</x:v>
      </x:c>
    </x:row>
    <x:row r="51">
      <x:c r="A51" s="26" t="str">
        <x:v>DET-02</x:v>
      </x:c>
      <x:c r="B51" s="26" t="str">
        <x:v>Monitoring, Detection &amp; Response</x:v>
      </x:c>
      <x:c r="C51" s="26" t="str">
        <x:v>Sensitive data to AI detections</x:v>
      </x:c>
      <x:c r="D51" s="26" t="str">
        <x:v>Are detections in place for PII, secrets, source code, HR, finance, legal, or customer data sent to AI tools?</x:v>
      </x:c>
      <x:c r="E51" s="26" t="str">
        <x:v>Data leakage to AI services</x:v>
      </x:c>
      <x:c r="F51" s="26" t="str">
        <x:v>NIST GenAI Profile; OWASP LLM06</x:v>
      </x:c>
      <x:c r="G51" s="26" t="str">
        <x:v>SIEM rules, DLP alerts</x:v>
      </x:c>
      <x:c r="H51" s="26" t="str">
        <x:v>SOC / DLP</x:v>
      </x:c>
      <x:c r="I51" s="26" t="str">
        <x:v>Critical</x:v>
      </x:c>
      <x:c r="J51" s="26" t="str">
        <x:v>Not Started</x:v>
      </x:c>
      <x:c r="K51" s="26" t="n">
        <x:f>IF(J51="N/A","",IF(J51="Not Started",0,IF(J51="Planned",1,IF(J51="Partial",2,IF(J51="Implemented",3,IF(J51="Implemented &amp; Tested",4,IF(J51="Automated &amp; Monitored",5,"")))))))</x:f>
        <x:v>0</x:v>
      </x:c>
      <x:c r="L51" s="26" t="str"/>
      <x:c r="M51" s="26" t="str"/>
      <x:c r="N51" s="26" t="str">
        <x:v>https://www.nist.gov/publications/artificial-intelligence-risk-management-framework-generative-artificial-intelligence</x:v>
      </x:c>
    </x:row>
    <x:row r="52">
      <x:c r="A52" s="26" t="str">
        <x:v>DET-03</x:v>
      </x:c>
      <x:c r="B52" s="26" t="str">
        <x:v>Monitoring, Detection &amp; Response</x:v>
      </x:c>
      <x:c r="C52" s="26" t="str">
        <x:v>Shadow AI detections</x:v>
      </x:c>
      <x:c r="D52" s="26" t="str">
        <x:v>Are detections in place for unapproved AI websites, APIs, browser extensions, and OAuth apps?</x:v>
      </x:c>
      <x:c r="E52" s="26" t="str">
        <x:v>Uncontrolled AI usage</x:v>
      </x:c>
      <x:c r="F52" s="26" t="str">
        <x:v>NIST AI RMF Measure; CSA AICM</x:v>
      </x:c>
      <x:c r="G52" s="26" t="str">
        <x:v>SWG/CASB alerts, OAuth rules</x:v>
      </x:c>
      <x:c r="H52" s="26" t="str">
        <x:v>SOC / SaaS Security</x:v>
      </x:c>
      <x:c r="I52" s="26" t="str">
        <x:v>High</x:v>
      </x:c>
      <x:c r="J52" s="26" t="str">
        <x:v>Not Started</x:v>
      </x:c>
      <x:c r="K52" s="26" t="n">
        <x:f>IF(J52="N/A","",IF(J52="Not Started",0,IF(J52="Planned",1,IF(J52="Partial",2,IF(J52="Implemented",3,IF(J52="Implemented &amp; Tested",4,IF(J52="Automated &amp; Monitored",5,"")))))))</x:f>
        <x:v>0</x:v>
      </x:c>
      <x:c r="L52" s="26" t="str"/>
      <x:c r="M52" s="26" t="str"/>
      <x:c r="N52" s="26" t="str">
        <x:v>https://cloudsecurityalliance.org/artifacts/ai-controls-matrix-v1-1</x:v>
      </x:c>
    </x:row>
    <x:row r="53">
      <x:c r="A53" s="26" t="str">
        <x:v>DET-04</x:v>
      </x:c>
      <x:c r="B53" s="26" t="str">
        <x:v>Monitoring, Detection &amp; Response</x:v>
      </x:c>
      <x:c r="C53" s="26" t="str">
        <x:v>Prompt injection detections</x:v>
      </x:c>
      <x:c r="D53" s="26" t="str">
        <x:v>Are prompt injection attempts logged and alerted where they target internal AI apps or RAG systems?</x:v>
      </x:c>
      <x:c r="E53" s="26" t="str">
        <x:v>Attempted data exfiltration or control bypass</x:v>
      </x:c>
      <x:c r="F53" s="26" t="str">
        <x:v>OWASP LLM01; MITRE ATLAS</x:v>
      </x:c>
      <x:c r="G53" s="26" t="str">
        <x:v>Detection rules, test prompts</x:v>
      </x:c>
      <x:c r="H53" s="26" t="str">
        <x:v>SOC / AppSec</x:v>
      </x:c>
      <x:c r="I53" s="26" t="str">
        <x:v>Medium</x:v>
      </x:c>
      <x:c r="J53" s="26" t="str">
        <x:v>Not Started</x:v>
      </x:c>
      <x:c r="K53" s="26" t="n">
        <x:f>IF(J53="N/A","",IF(J53="Not Started",0,IF(J53="Planned",1,IF(J53="Partial",2,IF(J53="Implemented",3,IF(J53="Implemented &amp; Tested",4,IF(J53="Automated &amp; Monitored",5,"")))))))</x:f>
        <x:v>0</x:v>
      </x:c>
      <x:c r="L53" s="26" t="str"/>
      <x:c r="M53" s="26" t="str"/>
      <x:c r="N53" s="26" t="str">
        <x:v>https://atlas.mitre.org/</x:v>
      </x:c>
    </x:row>
    <x:row r="54">
      <x:c r="A54" s="26" t="str">
        <x:v>DET-05</x:v>
      </x:c>
      <x:c r="B54" s="26" t="str">
        <x:v>Monitoring, Detection &amp; Response</x:v>
      </x:c>
      <x:c r="C54" s="26" t="str">
        <x:v>AI API abuse detection</x:v>
      </x:c>
      <x:c r="D54" s="26" t="str">
        <x:v>Are token spikes, unusual models, new API clients, cost anomalies, and failed guardrail events detected?</x:v>
      </x:c>
      <x:c r="E54" s="26" t="str">
        <x:v>API key abuse, DoS, runaway use</x:v>
      </x:c>
      <x:c r="F54" s="26" t="str">
        <x:v>OWASP LLM04; CSA AICM</x:v>
      </x:c>
      <x:c r="G54" s="26" t="str">
        <x:v>Cost anomaly rules, rate alerts</x:v>
      </x:c>
      <x:c r="H54" s="26" t="str">
        <x:v>SOC / AI Platform</x:v>
      </x:c>
      <x:c r="I54" s="26" t="str">
        <x:v>Medium</x:v>
      </x:c>
      <x:c r="J54" s="26" t="str">
        <x:v>Not Started</x:v>
      </x:c>
      <x:c r="K54" s="26" t="n">
        <x:f>IF(J54="N/A","",IF(J54="Not Started",0,IF(J54="Planned",1,IF(J54="Partial",2,IF(J54="Implemented",3,IF(J54="Implemented &amp; Tested",4,IF(J54="Automated &amp; Monitored",5,"")))))))</x:f>
        <x:v>0</x:v>
      </x:c>
      <x:c r="L54" s="26" t="str"/>
      <x:c r="M54" s="26" t="str"/>
      <x:c r="N54" s="26" t="str">
        <x:v>https://genai.owasp.org/llm-top-10/</x:v>
      </x:c>
    </x:row>
    <x:row r="55">
      <x:c r="A55" s="26" t="str">
        <x:v>DET-06</x:v>
      </x:c>
      <x:c r="B55" s="26" t="str">
        <x:v>Monitoring, Detection &amp; Response</x:v>
      </x:c>
      <x:c r="C55" s="26" t="str">
        <x:v>AI incident classification</x:v>
      </x:c>
      <x:c r="D55" s="26" t="str">
        <x:v>Are AI-related incidents classified and triaged separately for data leakage, prompt injection, model abuse, and agent misuse?</x:v>
      </x:c>
      <x:c r="E55" s="26" t="str">
        <x:v>AI incidents handled inconsistently</x:v>
      </x:c>
      <x:c r="F55" s="26" t="str">
        <x:v>NIST GenAI Profile; ISO/IEC 42001</x:v>
      </x:c>
      <x:c r="G55" s="26" t="str">
        <x:v>Incident taxonomy, playbooks</x:v>
      </x:c>
      <x:c r="H55" s="26" t="str">
        <x:v>SOC / IR</x:v>
      </x:c>
      <x:c r="I55" s="26" t="str">
        <x:v>High</x:v>
      </x:c>
      <x:c r="J55" s="26" t="str">
        <x:v>Not Started</x:v>
      </x:c>
      <x:c r="K55" s="26" t="n">
        <x:f>IF(J55="N/A","",IF(J55="Not Started",0,IF(J55="Planned",1,IF(J55="Partial",2,IF(J55="Implemented",3,IF(J55="Implemented &amp; Tested",4,IF(J55="Automated &amp; Monitored",5,"")))))))</x:f>
        <x:v>0</x:v>
      </x:c>
      <x:c r="L55" s="26" t="str"/>
      <x:c r="M55" s="26" t="str"/>
      <x:c r="N55" s="26" t="str">
        <x:v>https://www.nist.gov/publications/artificial-intelligence-risk-management-framework-generative-artificial-intelligence</x:v>
      </x:c>
    </x:row>
    <x:row r="56">
      <x:c r="A56" s="26" t="str">
        <x:v>DET-07</x:v>
      </x:c>
      <x:c r="B56" s="26" t="str">
        <x:v>Monitoring, Detection &amp; Response</x:v>
      </x:c>
      <x:c r="C56" s="26" t="str">
        <x:v>Detection tuning process</x:v>
      </x:c>
      <x:c r="D56" s="26" t="str">
        <x:v>Are AI alerts measured for false positives, missed detections, response time, and business impact?</x:v>
      </x:c>
      <x:c r="E56" s="26" t="str">
        <x:v>Alert fatigue or ineffective controls</x:v>
      </x:c>
      <x:c r="F56" s="26" t="str">
        <x:v>NIST AI RMF Measure/Manage</x:v>
      </x:c>
      <x:c r="G56" s="26" t="str">
        <x:v>Tuning records, metrics</x:v>
      </x:c>
      <x:c r="H56" s="26" t="str">
        <x:v>SOC Engineering</x:v>
      </x:c>
      <x:c r="I56" s="26" t="str">
        <x:v>Medium</x:v>
      </x:c>
      <x:c r="J56" s="26" t="str">
        <x:v>Not Started</x:v>
      </x:c>
      <x:c r="K56" s="26" t="n">
        <x:f>IF(J56="N/A","",IF(J56="Not Started",0,IF(J56="Planned",1,IF(J56="Partial",2,IF(J56="Implemented",3,IF(J56="Implemented &amp; Tested",4,IF(J56="Automated &amp; Monitored",5,"")))))))</x:f>
        <x:v>0</x:v>
      </x:c>
      <x:c r="L56" s="26" t="str"/>
      <x:c r="M56" s="26" t="str"/>
      <x:c r="N56" s="26" t="str">
        <x:v>https://www.nist.gov/itl/ai-risk-management-framework</x:v>
      </x:c>
    </x:row>
    <x:row r="57">
      <x:c r="A57" s="26" t="str">
        <x:v>VND-01</x:v>
      </x:c>
      <x:c r="B57" s="26" t="str">
        <x:v>Vendor &amp; Third-Party Risk</x:v>
      </x:c>
      <x:c r="C57" s="26" t="str">
        <x:v>AI vendor security review</x:v>
      </x:c>
      <x:c r="D57" s="26" t="str">
        <x:v>Are AI vendors assessed for data use, retention, training, region, encryption, access, logging, and incident notification?</x:v>
      </x:c>
      <x:c r="E57" s="26" t="str">
        <x:v>Vendor-driven data/security risk</x:v>
      </x:c>
      <x:c r="F57" s="26" t="str">
        <x:v>ISO/IEC 42001; NIST AI RMF Govern</x:v>
      </x:c>
      <x:c r="G57" s="26" t="str">
        <x:v>Vendor questionnaire, security review</x:v>
      </x:c>
      <x:c r="H57" s="26" t="str">
        <x:v>Vendor Risk</x:v>
      </x:c>
      <x:c r="I57" s="26" t="str">
        <x:v>Critical</x:v>
      </x:c>
      <x:c r="J57" s="26" t="str">
        <x:v>Not Started</x:v>
      </x:c>
      <x:c r="K57" s="26" t="n">
        <x:f>IF(J57="N/A","",IF(J57="Not Started",0,IF(J57="Planned",1,IF(J57="Partial",2,IF(J57="Implemented",3,IF(J57="Implemented &amp; Tested",4,IF(J57="Automated &amp; Monitored",5,"")))))))</x:f>
        <x:v>0</x:v>
      </x:c>
      <x:c r="L57" s="26" t="str"/>
      <x:c r="M57" s="26" t="str"/>
      <x:c r="N57" s="26" t="str">
        <x:v>https://www.iso.org/standard/42001</x:v>
      </x:c>
    </x:row>
    <x:row r="58">
      <x:c r="A58" s="26" t="str">
        <x:v>VND-02</x:v>
      </x:c>
      <x:c r="B58" s="26" t="str">
        <x:v>Vendor &amp; Third-Party Risk</x:v>
      </x:c>
      <x:c r="C58" s="26" t="str">
        <x:v>Contract clauses for AI data</x:v>
      </x:c>
      <x:c r="D58" s="26" t="str">
        <x:v>Do contracts prohibit training on company data and define retention, subprocessors, audit, and breach notification?</x:v>
      </x:c>
      <x:c r="E58" s="26" t="str">
        <x:v>Contractual loss of data control</x:v>
      </x:c>
      <x:c r="F58" s="26" t="str">
        <x:v>NIST GenAI Profile; ISO/IEC 42001</x:v>
      </x:c>
      <x:c r="G58" s="26" t="str">
        <x:v>DPA/MSA clauses</x:v>
      </x:c>
      <x:c r="H58" s="26" t="str">
        <x:v>Legal / Procurement</x:v>
      </x:c>
      <x:c r="I58" s="26" t="str">
        <x:v>Critical</x:v>
      </x:c>
      <x:c r="J58" s="26" t="str">
        <x:v>Not Started</x:v>
      </x:c>
      <x:c r="K58" s="26" t="n">
        <x:f>IF(J58="N/A","",IF(J58="Not Started",0,IF(J58="Planned",1,IF(J58="Partial",2,IF(J58="Implemented",3,IF(J58="Implemented &amp; Tested",4,IF(J58="Automated &amp; Monitored",5,"")))))))</x:f>
        <x:v>0</x:v>
      </x:c>
      <x:c r="L58" s="26" t="str"/>
      <x:c r="M58" s="26" t="str"/>
      <x:c r="N58" s="26" t="str">
        <x:v>https://www.nist.gov/publications/artificial-intelligence-risk-management-framework-generative-artificial-intelligence</x:v>
      </x:c>
    </x:row>
    <x:row r="59">
      <x:c r="A59" s="26" t="str">
        <x:v>VND-03</x:v>
      </x:c>
      <x:c r="B59" s="26" t="str">
        <x:v>Vendor &amp; Third-Party Risk</x:v>
      </x:c>
      <x:c r="C59" s="26" t="str">
        <x:v>Model/provider concentration risk</x:v>
      </x:c>
      <x:c r="D59" s="26" t="str">
        <x:v>Is dependency on a single model/provider assessed for availability, cost, lock-in, and compliance?</x:v>
      </x:c>
      <x:c r="E59" s="26" t="str">
        <x:v>Operational resilience and lock-in risk</x:v>
      </x:c>
      <x:c r="F59" s="26" t="str">
        <x:v>ISO/IEC 23894; NIST AI RMF Manage</x:v>
      </x:c>
      <x:c r="G59" s="26" t="str">
        <x:v>Resilience assessment</x:v>
      </x:c>
      <x:c r="H59" s="26" t="str">
        <x:v>Architecture / Procurement</x:v>
      </x:c>
      <x:c r="I59" s="26" t="str">
        <x:v>Medium</x:v>
      </x:c>
      <x:c r="J59" s="26" t="str">
        <x:v>Not Started</x:v>
      </x:c>
      <x:c r="K59" s="26" t="n">
        <x:f>IF(J59="N/A","",IF(J59="Not Started",0,IF(J59="Planned",1,IF(J59="Partial",2,IF(J59="Implemented",3,IF(J59="Implemented &amp; Tested",4,IF(J59="Automated &amp; Monitored",5,"")))))))</x:f>
        <x:v>0</x:v>
      </x:c>
      <x:c r="L59" s="26" t="str"/>
      <x:c r="M59" s="26" t="str"/>
      <x:c r="N59" s="26" t="str">
        <x:v>https://www.iso.org/standard/77304.html</x:v>
      </x:c>
    </x:row>
    <x:row r="60">
      <x:c r="A60" s="26" t="str">
        <x:v>VND-04</x:v>
      </x:c>
      <x:c r="B60" s="26" t="str">
        <x:v>Vendor &amp; Third-Party Risk</x:v>
      </x:c>
      <x:c r="C60" s="26" t="str">
        <x:v>AI tool onboarding checklist</x:v>
      </x:c>
      <x:c r="D60" s="26" t="str">
        <x:v>Is every new AI SaaS/tool reviewed before purchase, trial, OAuth consent, or integration?</x:v>
      </x:c>
      <x:c r="E60" s="26" t="str">
        <x:v>Unreviewed tools gain access to data</x:v>
      </x:c>
      <x:c r="F60" s="26" t="str">
        <x:v>ISO/IEC 42001; CSA AICM</x:v>
      </x:c>
      <x:c r="G60" s="26" t="str">
        <x:v>Procurement workflow evidence</x:v>
      </x:c>
      <x:c r="H60" s="26" t="str">
        <x:v>Procurement / Security</x:v>
      </x:c>
      <x:c r="I60" s="26" t="str">
        <x:v>High</x:v>
      </x:c>
      <x:c r="J60" s="26" t="str">
        <x:v>Not Started</x:v>
      </x:c>
      <x:c r="K60" s="26" t="n">
        <x:f>IF(J60="N/A","",IF(J60="Not Started",0,IF(J60="Planned",1,IF(J60="Partial",2,IF(J60="Implemented",3,IF(J60="Implemented &amp; Tested",4,IF(J60="Automated &amp; Monitored",5,"")))))))</x:f>
        <x:v>0</x:v>
      </x:c>
      <x:c r="L60" s="26" t="str"/>
      <x:c r="M60" s="26" t="str"/>
      <x:c r="N60" s="26" t="str">
        <x:v>https://cloudsecurityalliance.org/artifacts/ai-controls-matrix-v1-1</x:v>
      </x:c>
    </x:row>
    <x:row r="61">
      <x:c r="A61" s="26" t="str">
        <x:v>VND-05</x:v>
      </x:c>
      <x:c r="B61" s="26" t="str">
        <x:v>Vendor &amp; Third-Party Risk</x:v>
      </x:c>
      <x:c r="C61" s="26" t="str">
        <x:v>Third-party model transparency</x:v>
      </x:c>
      <x:c r="D61" s="26" t="str">
        <x:v>Are model cards, safety documentation, limitations, and evaluation evidence reviewed where available?</x:v>
      </x:c>
      <x:c r="E61" s="26" t="str">
        <x:v>Unknown model limitations and risks</x:v>
      </x:c>
      <x:c r="F61" s="26" t="str">
        <x:v>NIST AI RMF Measure; NIST GenAI Profile</x:v>
      </x:c>
      <x:c r="G61" s="26" t="str">
        <x:v>Vendor docs, evaluation notes</x:v>
      </x:c>
      <x:c r="H61" s="26" t="str">
        <x:v>AI Governance</x:v>
      </x:c>
      <x:c r="I61" s="26" t="str">
        <x:v>Medium</x:v>
      </x:c>
      <x:c r="J61" s="26" t="str">
        <x:v>Not Started</x:v>
      </x:c>
      <x:c r="K61" s="26" t="n">
        <x:f>IF(J61="N/A","",IF(J61="Not Started",0,IF(J61="Planned",1,IF(J61="Partial",2,IF(J61="Implemented",3,IF(J61="Implemented &amp; Tested",4,IF(J61="Automated &amp; Monitored",5,"")))))))</x:f>
        <x:v>0</x:v>
      </x:c>
      <x:c r="L61" s="26" t="str"/>
      <x:c r="M61" s="26" t="str"/>
      <x:c r="N61" s="26" t="str">
        <x:v>https://www.nist.gov/itl/ai-risk-management-framework</x:v>
      </x:c>
    </x:row>
    <x:row r="62">
      <x:c r="A62" s="26" t="str">
        <x:v>TRN-01</x:v>
      </x:c>
      <x:c r="B62" s="26" t="str">
        <x:v>Training &amp; Change Management</x:v>
      </x:c>
      <x:c r="C62" s="26" t="str">
        <x:v>AI security awareness</x:v>
      </x:c>
      <x:c r="D62" s="26" t="str">
        <x:v>Are employees trained on approved tools, prohibited data, prompt safety, and reporting AI incidents?</x:v>
      </x:c>
      <x:c r="E62" s="26" t="str">
        <x:v>Unsafe user behavior and Shadow AI</x:v>
      </x:c>
      <x:c r="F62" s="26" t="str">
        <x:v>NIST AI RMF Govern; ISO/IEC 42001 competence</x:v>
      </x:c>
      <x:c r="G62" s="26" t="str">
        <x:v>Training records, comms plan</x:v>
      </x:c>
      <x:c r="H62" s="26" t="str">
        <x:v>Security Awareness</x:v>
      </x:c>
      <x:c r="I62" s="26" t="str">
        <x:v>High</x:v>
      </x:c>
      <x:c r="J62" s="26" t="str">
        <x:v>Not Started</x:v>
      </x:c>
      <x:c r="K62" s="26" t="n">
        <x:f>IF(J62="N/A","",IF(J62="Not Started",0,IF(J62="Planned",1,IF(J62="Partial",2,IF(J62="Implemented",3,IF(J62="Implemented &amp; Tested",4,IF(J62="Automated &amp; Monitored",5,"")))))))</x:f>
        <x:v>0</x:v>
      </x:c>
      <x:c r="L62" s="26" t="str"/>
      <x:c r="M62" s="26" t="str"/>
      <x:c r="N62" s="26" t="str">
        <x:v>https://www.iso.org/standard/42001</x:v>
      </x:c>
    </x:row>
    <x:row r="63">
      <x:c r="A63" s="26" t="str">
        <x:v>TRN-02</x:v>
      </x:c>
      <x:c r="B63" s="26" t="str">
        <x:v>Training &amp; Change Management</x:v>
      </x:c>
      <x:c r="C63" s="26" t="str">
        <x:v>Developer AI security training</x:v>
      </x:c>
      <x:c r="D63" s="26" t="str">
        <x:v>Are developers trained on LLM Top 10, RAG risks, agent risks, insecure output handling, and AI secure SDLC?</x:v>
      </x:c>
      <x:c r="E63" s="26" t="str">
        <x:v>Insecure AI applications</x:v>
      </x:c>
      <x:c r="F63" s="26" t="str">
        <x:v>OWASP LLM Top 10; MITRE ATLAS</x:v>
      </x:c>
      <x:c r="G63" s="26" t="str">
        <x:v>Training records, labs</x:v>
      </x:c>
      <x:c r="H63" s="26" t="str">
        <x:v>AppSec</x:v>
      </x:c>
      <x:c r="I63" s="26" t="str">
        <x:v>High</x:v>
      </x:c>
      <x:c r="J63" s="26" t="str">
        <x:v>Not Started</x:v>
      </x:c>
      <x:c r="K63" s="26" t="n">
        <x:f>IF(J63="N/A","",IF(J63="Not Started",0,IF(J63="Planned",1,IF(J63="Partial",2,IF(J63="Implemented",3,IF(J63="Implemented &amp; Tested",4,IF(J63="Automated &amp; Monitored",5,"")))))))</x:f>
        <x:v>0</x:v>
      </x:c>
      <x:c r="L63" s="26" t="str"/>
      <x:c r="M63" s="26" t="str"/>
      <x:c r="N63" s="26" t="str">
        <x:v>https://genai.owasp.org/llm-top-10/</x:v>
      </x:c>
    </x:row>
    <x:row r="64">
      <x:c r="A64" s="26" t="str">
        <x:v>TRN-03</x:v>
      </x:c>
      <x:c r="B64" s="26" t="str">
        <x:v>Training &amp; Change Management</x:v>
      </x:c>
      <x:c r="C64" s="26" t="str">
        <x:v>User coaching at point of risk</x:v>
      </x:c>
      <x:c r="D64" s="26" t="str">
        <x:v>Do controls provide real-time warnings when users paste secrets, PII, or restricted documents into AI?</x:v>
      </x:c>
      <x:c r="E64" s="26" t="str">
        <x:v>Users do not learn from blocked actions</x:v>
      </x:c>
      <x:c r="F64" s="26" t="str">
        <x:v>NIST AI RMF Manage</x:v>
      </x:c>
      <x:c r="G64" s="26" t="str">
        <x:v>Warning examples, logs</x:v>
      </x:c>
      <x:c r="H64" s="26" t="str">
        <x:v>DLP / Security Awareness</x:v>
      </x:c>
      <x:c r="I64" s="26" t="str">
        <x:v>Medium</x:v>
      </x:c>
      <x:c r="J64" s="26" t="str">
        <x:v>Not Started</x:v>
      </x:c>
      <x:c r="K64" s="26" t="n">
        <x:f>IF(J64="N/A","",IF(J64="Not Started",0,IF(J64="Planned",1,IF(J64="Partial",2,IF(J64="Implemented",3,IF(J64="Implemented &amp; Tested",4,IF(J64="Automated &amp; Monitored",5,"")))))))</x:f>
        <x:v>0</x:v>
      </x:c>
      <x:c r="L64" s="26" t="str"/>
      <x:c r="M64" s="26" t="str"/>
      <x:c r="N64" s="26" t="str">
        <x:v>https://www.nist.gov/itl/ai-risk-management-framework</x:v>
      </x:c>
    </x:row>
    <x:row r="65">
      <x:c r="A65" s="26" t="str">
        <x:v>TRN-04</x:v>
      </x:c>
      <x:c r="B65" s="26" t="str">
        <x:v>Training &amp; Change Management</x:v>
      </x:c>
      <x:c r="C65" s="26" t="str">
        <x:v>AI champions network</x:v>
      </x:c>
      <x:c r="D65" s="26" t="str">
        <x:v>Are business and engineering AI champions trained to promote safe adoption and escalate risks?</x:v>
      </x:c>
      <x:c r="E65" s="26" t="str">
        <x:v>Security team becomes bottleneck</x:v>
      </x:c>
      <x:c r="F65" s="26" t="str">
        <x:v>ISO/IEC 42001; NIST AI RMF Govern</x:v>
      </x:c>
      <x:c r="G65" s="26" t="str">
        <x:v>Champion roster, meeting notes</x:v>
      </x:c>
      <x:c r="H65" s="26" t="str">
        <x:v>AI Governance</x:v>
      </x:c>
      <x:c r="I65" s="26" t="str">
        <x:v>Low</x:v>
      </x:c>
      <x:c r="J65" s="26" t="str">
        <x:v>Not Started</x:v>
      </x:c>
      <x:c r="K65" s="26" t="n">
        <x:f>IF(J65="N/A","",IF(J65="Not Started",0,IF(J65="Planned",1,IF(J65="Partial",2,IF(J65="Implemented",3,IF(J65="Implemented &amp; Tested",4,IF(J65="Automated &amp; Monitored",5,"")))))))</x:f>
        <x:v>0</x:v>
      </x:c>
      <x:c r="L65" s="26" t="str"/>
      <x:c r="M65" s="26" t="str"/>
      <x:c r="N65" s="26" t="str">
        <x:v>https://www.iso.org/standard/42001</x:v>
      </x:c>
    </x:row>
    <x:row r="66">
      <x:c r="A66" s="26" t="str">
        <x:v>CMP-01</x:v>
      </x:c>
      <x:c r="B66" s="26" t="str">
        <x:v>Legal &amp; Compliance</x:v>
      </x:c>
      <x:c r="C66" s="26" t="str">
        <x:v>Regulatory applicability review</x:v>
      </x:c>
      <x:c r="D66" s="26" t="str">
        <x:v>Are AI use cases reviewed for GDPR, EU AI Act, sector rules, employment, consumer, healthcare, or financial regulations?</x:v>
      </x:c>
      <x:c r="E66" s="26" t="str">
        <x:v>Regulatory non-compliance</x:v>
      </x:c>
      <x:c r="F66" s="26" t="str">
        <x:v>EU AI Act; ISO/IEC 23894</x:v>
      </x:c>
      <x:c r="G66" s="26" t="str">
        <x:v>Legal review records</x:v>
      </x:c>
      <x:c r="H66" s="26" t="str">
        <x:v>Legal / Compliance</x:v>
      </x:c>
      <x:c r="I66" s="26" t="str">
        <x:v>Critical</x:v>
      </x:c>
      <x:c r="J66" s="26" t="str">
        <x:v>Not Started</x:v>
      </x:c>
      <x:c r="K66" s="26" t="n">
        <x:f>IF(J66="N/A","",IF(J66="Not Started",0,IF(J66="Planned",1,IF(J66="Partial",2,IF(J66="Implemented",3,IF(J66="Implemented &amp; Tested",4,IF(J66="Automated &amp; Monitored",5,"")))))))</x:f>
        <x:v>0</x:v>
      </x:c>
      <x:c r="L66" s="26" t="str"/>
      <x:c r="M66" s="26" t="str"/>
      <x:c r="N66" s="26" t="str">
        <x:v>https://digital-strategy.ec.europa.eu/en/policies/regulatory-framework-ai</x:v>
      </x:c>
    </x:row>
    <x:row r="67">
      <x:c r="A67" s="26" t="str">
        <x:v>CMP-02</x:v>
      </x:c>
      <x:c r="B67" s="26" t="str">
        <x:v>Legal &amp; Compliance</x:v>
      </x:c>
      <x:c r="C67" s="26" t="str">
        <x:v>High-risk AI assessment</x:v>
      </x:c>
      <x:c r="D67" s="26" t="str">
        <x:v>Are potentially high-risk AI systems assessed and documented before deployment?</x:v>
      </x:c>
      <x:c r="E67" s="26" t="str">
        <x:v>Missing high-risk AI obligations</x:v>
      </x:c>
      <x:c r="F67" s="26" t="str">
        <x:v>EU AI Act risk-based classification; NIST AI RMF Map</x:v>
      </x:c>
      <x:c r="G67" s="26" t="str">
        <x:v>High-risk assessment docs</x:v>
      </x:c>
      <x:c r="H67" s="26" t="str">
        <x:v>Legal / AI Governance</x:v>
      </x:c>
      <x:c r="I67" s="26" t="str">
        <x:v>High</x:v>
      </x:c>
      <x:c r="J67" s="26" t="str">
        <x:v>Not Started</x:v>
      </x:c>
      <x:c r="K67" s="26" t="n">
        <x:f>IF(J67="N/A","",IF(J67="Not Started",0,IF(J67="Planned",1,IF(J67="Partial",2,IF(J67="Implemented",3,IF(J67="Implemented &amp; Tested",4,IF(J67="Automated &amp; Monitored",5,"")))))))</x:f>
        <x:v>0</x:v>
      </x:c>
      <x:c r="L67" s="26" t="str"/>
      <x:c r="M67" s="26" t="str"/>
      <x:c r="N67" s="26" t="str">
        <x:v>https://digital-strategy.ec.europa.eu/en/policies/regulatory-framework-ai</x:v>
      </x:c>
    </x:row>
    <x:row r="68">
      <x:c r="A68" s="26" t="str">
        <x:v>CMP-03</x:v>
      </x:c>
      <x:c r="B68" s="26" t="str">
        <x:v>Legal &amp; Compliance</x:v>
      </x:c>
      <x:c r="C68" s="26" t="str">
        <x:v>Transparency and user notice</x:v>
      </x:c>
      <x:c r="D68" s="26" t="str">
        <x:v>Are users informed when they interact with AI or AI-generated outputs where required?</x:v>
      </x:c>
      <x:c r="E68" s="26" t="str">
        <x:v>Transparency and trust failures</x:v>
      </x:c>
      <x:c r="F68" s="26" t="str">
        <x:v>EU AI Act; NIST AI RMF Govern</x:v>
      </x:c>
      <x:c r="G68" s="26" t="str">
        <x:v>User notices, UI examples</x:v>
      </x:c>
      <x:c r="H68" s="26" t="str">
        <x:v>Product / Legal</x:v>
      </x:c>
      <x:c r="I68" s="26" t="str">
        <x:v>Medium</x:v>
      </x:c>
      <x:c r="J68" s="26" t="str">
        <x:v>Not Started</x:v>
      </x:c>
      <x:c r="K68" s="26" t="n">
        <x:f>IF(J68="N/A","",IF(J68="Not Started",0,IF(J68="Planned",1,IF(J68="Partial",2,IF(J68="Implemented",3,IF(J68="Implemented &amp; Tested",4,IF(J68="Automated &amp; Monitored",5,"")))))))</x:f>
        <x:v>0</x:v>
      </x:c>
      <x:c r="L68" s="26" t="str"/>
      <x:c r="M68" s="26" t="str"/>
      <x:c r="N68" s="26" t="str">
        <x:v>https://digital-strategy.ec.europa.eu/en/policies/regulatory-framework-ai</x:v>
      </x:c>
    </x:row>
    <x:row r="69">
      <x:c r="A69" s="26" t="str">
        <x:v>CMP-04</x:v>
      </x:c>
      <x:c r="B69" s="26" t="str">
        <x:v>Legal &amp; Compliance</x:v>
      </x:c>
      <x:c r="C69" s="26" t="str">
        <x:v>Auditability and evidence</x:v>
      </x:c>
      <x:c r="D69" s="26" t="str">
        <x:v>Is evidence retained for AI risk decisions, control tests, vendor approvals, and incident handling?</x:v>
      </x:c>
      <x:c r="E69" s="26" t="str">
        <x:v>Cannot prove governance/control operation</x:v>
      </x:c>
      <x:c r="F69" s="26" t="str">
        <x:v>ISO/IEC 42001; NIST AI RMF Govern</x:v>
      </x:c>
      <x:c r="G69" s="26" t="str">
        <x:v>Evidence register</x:v>
      </x:c>
      <x:c r="H69" s="26" t="str">
        <x:v>Compliance</x:v>
      </x:c>
      <x:c r="I69" s="26" t="str">
        <x:v>High</x:v>
      </x:c>
      <x:c r="J69" s="26" t="str">
        <x:v>Not Started</x:v>
      </x:c>
      <x:c r="K69" s="26" t="n">
        <x:f>IF(J69="N/A","",IF(J69="Not Started",0,IF(J69="Planned",1,IF(J69="Partial",2,IF(J69="Implemented",3,IF(J69="Implemented &amp; Tested",4,IF(J69="Automated &amp; Monitored",5,"")))))))</x:f>
        <x:v>0</x:v>
      </x:c>
      <x:c r="L69" s="26" t="str"/>
      <x:c r="M69" s="26" t="str"/>
      <x:c r="N69" s="26" t="str">
        <x:v>https://www.iso.org/standard/42001</x:v>
      </x:c>
    </x:row>
  </x:sheetData>
  <x:conditionalFormatting sqref="K2:K6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2">
    <x:dataValidation type="list" sqref="I2:I69">
      <x:formula1>"Critical,High,Medium,Low"</x:formula1>
    </x:dataValidation>
    <x:dataValidation type="list" sqref="J2:J69">
      <x:formula1>"Not Started,Planned,Partial,Implemented,Implemented &amp; Tested,Automated &amp; Monitored,N/A"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ba9c70eea14bb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5" hidden="0" customWidth="1"/>
    <x:col min="3" max="3" width="22" hidden="0" customWidth="1"/>
    <x:col min="4" max="4" width="20" hidden="0" customWidth="1"/>
    <x:col min="5" max="5" width="20" hidden="0" customWidth="1"/>
    <x:col min="6" max="6" width="25" hidden="0" customWidth="1"/>
    <x:col min="7" max="7" width="28" hidden="0" customWidth="1"/>
    <x:col min="8" max="8" width="25" hidden="0" customWidth="1"/>
    <x:col min="9" max="9" width="24" hidden="0" customWidth="1"/>
    <x:col min="10" max="10" width="14" hidden="0" customWidth="1"/>
    <x:col min="11" max="11" width="10" hidden="0" customWidth="1"/>
    <x:col min="12" max="12" width="18" hidden="0" customWidth="1"/>
    <x:col min="13" max="13" width="12" hidden="0" customWidth="1"/>
    <x:col min="14" max="14" width="35" hidden="0" customWidth="1"/>
    <x:col min="15" max="15" width="35" hidden="0" customWidth="1"/>
    <x:col min="16" max="16" width="16" hidden="0" customWidth="1"/>
    <x:col min="17" max="17" width="16" hidden="0" customWidth="1"/>
    <x:col min="18" max="18" width="30" hidden="0" customWidth="1"/>
  </x:cols>
  <x:sheetData>
    <x:row r="1" ht="32" customHeight="1">
      <x:c r="A1" s="6" t="str">
        <x:v>AI Asset ID</x:v>
      </x:c>
      <x:c r="B1" s="6" t="str">
        <x:v>AI Use Case / Tool</x:v>
      </x:c>
      <x:c r="C1" s="6" t="str">
        <x:v>Owner</x:v>
      </x:c>
      <x:c r="D1" s="6" t="str">
        <x:v>Business Function</x:v>
      </x:c>
      <x:c r="E1" s="6" t="str">
        <x:v>User Group</x:v>
      </x:c>
      <x:c r="F1" s="6" t="str">
        <x:v>AI Type</x:v>
      </x:c>
      <x:c r="G1" s="6" t="str">
        <x:v>Provider / Model</x:v>
      </x:c>
      <x:c r="H1" s="6" t="str">
        <x:v>Internal or External</x:v>
      </x:c>
      <x:c r="I1" s="6" t="str">
        <x:v>Data Classification</x:v>
      </x:c>
      <x:c r="J1" s="6" t="str">
        <x:v>File Uploads?</x:v>
      </x:c>
      <x:c r="K1" s="6" t="str">
        <x:v>RAG?</x:v>
      </x:c>
      <x:c r="L1" s="6" t="str">
        <x:v>Agent / Tool Use?</x:v>
      </x:c>
      <x:c r="M1" s="6" t="str">
        <x:v>Risk Tier</x:v>
      </x:c>
      <x:c r="N1" s="6" t="str">
        <x:v>Current Controls</x:v>
      </x:c>
      <x:c r="O1" s="6" t="str">
        <x:v>Key Gaps</x:v>
      </x:c>
      <x:c r="P1" s="6" t="str">
        <x:v>Review Status</x:v>
      </x:c>
      <x:c r="Q1" s="6" t="str">
        <x:v>Next Review</x:v>
      </x:c>
      <x:c r="R1" s="6" t="str">
        <x:v>Notes</x:v>
      </x:c>
    </x:row>
    <x:row r="2">
      <x:c r="A2" s="26" t="str">
        <x:v>AI-001</x:v>
      </x:c>
      <x:c r="B2" s="26" t="str">
        <x:v>Example: Enterprise AI Chat Portal</x:v>
      </x:c>
      <x:c r="C2" s="26" t="str">
        <x:v>Security / Platform</x:v>
      </x:c>
      <x:c r="D2" s="26" t="str">
        <x:v>All business functions</x:v>
      </x:c>
      <x:c r="E2" s="26" t="str">
        <x:v>All employees</x:v>
      </x:c>
      <x:c r="F2" s="26" t="str">
        <x:v>Chat / document assistant</x:v>
      </x:c>
      <x:c r="G2" s="26" t="str">
        <x:v>Claude / GPT via approved gateway</x:v>
      </x:c>
      <x:c r="H2" s="26" t="str">
        <x:v>External model via approved gateway</x:v>
      </x:c>
      <x:c r="I2" s="26" t="str">
        <x:v>Internal</x:v>
      </x:c>
      <x:c r="J2" s="26" t="str">
        <x:v>Yes</x:v>
      </x:c>
      <x:c r="K2" s="26" t="str">
        <x:v>Optional</x:v>
      </x:c>
      <x:c r="L2" s="26" t="str">
        <x:v>No</x:v>
      </x:c>
      <x:c r="M2" s="26" t="str">
        <x:v>Medium</x:v>
      </x:c>
      <x:c r="N2" s="26" t="str">
        <x:v>SSO, DLP, logging, model allowlist</x:v>
      </x:c>
      <x:c r="O2" s="26" t="str">
        <x:v>Output filtering and SIEM detections not fully tuned</x:v>
      </x:c>
      <x:c r="P2" s="26" t="str">
        <x:v>Planned</x:v>
      </x:c>
      <x:c r="Q2" s="26" t="str"/>
      <x:c r="R2" s="26" t="str">
        <x:v>Replace this row with your own asset</x:v>
      </x:c>
    </x:row>
    <x:row r="3">
      <x:c r="A3" s="26" t="str">
        <x:v>AI-002</x:v>
      </x:c>
      <x:c r="B3" s="26" t="str">
        <x:v>Example: Developer Coding Assistant</x:v>
      </x:c>
      <x:c r="C3" s="26" t="str">
        <x:v>Engineering</x:v>
      </x:c>
      <x:c r="D3" s="26" t="str">
        <x:v>Software Engineering</x:v>
      </x:c>
      <x:c r="E3" s="26" t="str">
        <x:v>Developers</x:v>
      </x:c>
      <x:c r="F3" s="26" t="str">
        <x:v>Coding assistant / CLI</x:v>
      </x:c>
      <x:c r="G3" s="26" t="str">
        <x:v>Approved coding model via gateway</x:v>
      </x:c>
      <x:c r="H3" s="26" t="str">
        <x:v>External model via gateway</x:v>
      </x:c>
      <x:c r="I3" s="26" t="str">
        <x:v>Confidential / Source Code</x:v>
      </x:c>
      <x:c r="J3" s="26" t="str">
        <x:v>No</x:v>
      </x:c>
      <x:c r="K3" s="26" t="str">
        <x:v>No</x:v>
      </x:c>
      <x:c r="L3" s="26" t="str">
        <x:v>Limited local tool use</x:v>
      </x:c>
      <x:c r="M3" s="26" t="str">
        <x:v>High</x:v>
      </x:c>
      <x:c r="N3" s="26" t="str">
        <x:v>SSO, repo allowlist, secret scanning</x:v>
      </x:c>
      <x:c r="O3" s="26" t="str">
        <x:v>Need endpoint process telemetry and PR risk checks</x:v>
      </x:c>
      <x:c r="P3" s="26" t="str">
        <x:v>Planned</x:v>
      </x:c>
      <x:c r="Q3" s="26" t="str"/>
      <x:c r="R3" s="26" t="str">
        <x:v>Replace this row with your own asset</x:v>
      </x:c>
    </x:row>
    <x:row r="4">
      <x:c r="A4" s="26"/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</x:row>
    <x:row r="5">
      <x:c r="A5" s="26"/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</x:row>
    <x:row r="6">
      <x:c r="A6" s="26"/>
      <x:c r="B6" s="26"/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</x:row>
    <x:row r="7">
      <x:c r="A7" s="26"/>
      <x:c r="B7" s="26"/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</x:row>
    <x:row r="8">
      <x:c r="A8" s="26"/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</x:row>
    <x:row r="9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</x:row>
    <x:row r="10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</x:row>
  </x:sheetData>
  <x:dataValidations count="3">
    <x:dataValidation type="list" sqref="I2:I100">
      <x:formula1>"Public,Internal,Confidential,Restricted,Secrets/Credentials"</x:formula1>
    </x:dataValidation>
    <x:dataValidation type="list" sqref="M2:M100">
      <x:formula1>"Low,Medium,High,Critical"</x:formula1>
    </x:dataValidation>
    <x:dataValidation type="list" sqref="P2:P100">
      <x:formula1>"Not Started,Planned,Partial,Implemented,Implemented &amp; Tested,Automated &amp; Monitored,N/A"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63a96635f64ac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8" hidden="0" customWidth="1"/>
    <x:col min="5" max="5" width="18" hidden="0" customWidth="1"/>
    <x:col min="6" max="6" width="22" hidden="0" customWidth="1"/>
    <x:col min="7" max="7" width="45" hidden="0" customWidth="1"/>
    <x:col min="8" max="8" width="45" hidden="0" customWidth="1"/>
  </x:cols>
  <x:sheetData>
    <x:row r="1" ht="32" customHeight="1">
      <x:c r="A1" s="6" t="str">
        <x:v>Data / Use Case</x:v>
      </x:c>
      <x:c r="B1" s="6" t="str">
        <x:v>Public</x:v>
      </x:c>
      <x:c r="C1" s="6" t="str">
        <x:v>Internal</x:v>
      </x:c>
      <x:c r="D1" s="6" t="str">
        <x:v>Confidential</x:v>
      </x:c>
      <x:c r="E1" s="6" t="str">
        <x:v>Restricted</x:v>
      </x:c>
      <x:c r="F1" s="6" t="str">
        <x:v>Secrets / Credentials</x:v>
      </x:c>
      <x:c r="G1" s="6" t="str">
        <x:v>Recommended Control Pattern</x:v>
      </x:c>
      <x:c r="H1" s="6" t="str">
        <x:v>Notes</x:v>
      </x:c>
    </x:row>
    <x:row r="2">
      <x:c r="A2" s="26" t="str">
        <x:v>General Q&amp;A / brainstorming</x:v>
      </x:c>
      <x:c r="B2" s="26" t="str">
        <x:v>Allow</x:v>
      </x:c>
      <x:c r="C2" s="26" t="str">
        <x:v>Allow</x:v>
      </x:c>
      <x:c r="D2" s="26" t="str">
        <x:v>Warn</x:v>
      </x:c>
      <x:c r="E2" s="26" t="str">
        <x:v>Block</x:v>
      </x:c>
      <x:c r="F2" s="26" t="str">
        <x:v>Block</x:v>
      </x:c>
      <x:c r="G2" s="26" t="str">
        <x:v>Enterprise AI workspace or portal with logging</x:v>
      </x:c>
      <x:c r="H2" s="26" t="str">
        <x:v>Use approved tools; no personal accounts.</x:v>
      </x:c>
    </x:row>
    <x:row r="3">
      <x:c r="A3" s="26" t="str">
        <x:v>Email drafting</x:v>
      </x:c>
      <x:c r="B3" s="26" t="str">
        <x:v>Allow</x:v>
      </x:c>
      <x:c r="C3" s="26" t="str">
        <x:v>Allow</x:v>
      </x:c>
      <x:c r="D3" s="26" t="str">
        <x:v>Redact</x:v>
      </x:c>
      <x:c r="E3" s="26" t="str">
        <x:v>Exception Required</x:v>
      </x:c>
      <x:c r="F3" s="26" t="str">
        <x:v>Block</x:v>
      </x:c>
      <x:c r="G3" s="26" t="str">
        <x:v>DLP + user warning + no vendor training</x:v>
      </x:c>
      <x:c r="H3" s="26" t="str">
        <x:v>Watch for customer/HR/legal context.</x:v>
      </x:c>
    </x:row>
    <x:row r="4">
      <x:c r="A4" s="26" t="str">
        <x:v>Document summarisation</x:v>
      </x:c>
      <x:c r="B4" s="26" t="str">
        <x:v>Allow</x:v>
      </x:c>
      <x:c r="C4" s="26" t="str">
        <x:v>Allow</x:v>
      </x:c>
      <x:c r="D4" s="26" t="str">
        <x:v>Redact / Tokenize</x:v>
      </x:c>
      <x:c r="E4" s="26" t="str">
        <x:v>Exception Required</x:v>
      </x:c>
      <x:c r="F4" s="26" t="str">
        <x:v>Block</x:v>
      </x:c>
      <x:c r="G4" s="26" t="str">
        <x:v>File DLP + data classification + retention rules</x:v>
      </x:c>
      <x:c r="H4" s="26" t="str">
        <x:v>Large uploads should be logged.</x:v>
      </x:c>
    </x:row>
    <x:row r="5">
      <x:c r="A5" s="26" t="str">
        <x:v>Code assistance</x:v>
      </x:c>
      <x:c r="B5" s="26" t="str">
        <x:v>Allow</x:v>
      </x:c>
      <x:c r="C5" s="26" t="str">
        <x:v>Allow</x:v>
      </x:c>
      <x:c r="D5" s="26" t="str">
        <x:v>Warn</x:v>
      </x:c>
      <x:c r="E5" s="26" t="str">
        <x:v>Block</x:v>
      </x:c>
      <x:c r="F5" s="26" t="str">
        <x:v>Block</x:v>
      </x:c>
      <x:c r="G5" s="26" t="str">
        <x:v>Approved coding assistant/gateway + secret scanning</x:v>
      </x:c>
      <x:c r="H5" s="26" t="str">
        <x:v>Block .env, keys, private code to unapproved tools.</x:v>
      </x:c>
    </x:row>
    <x:row r="6">
      <x:c r="A6" s="26" t="str">
        <x:v>Customer support analysis</x:v>
      </x:c>
      <x:c r="B6" s="26" t="str">
        <x:v>Allow</x:v>
      </x:c>
      <x:c r="C6" s="26" t="str">
        <x:v>Redact</x:v>
      </x:c>
      <x:c r="D6" s="26" t="str">
        <x:v>Tokenize</x:v>
      </x:c>
      <x:c r="E6" s="26" t="str">
        <x:v>Exception Required</x:v>
      </x:c>
      <x:c r="F6" s="26" t="str">
        <x:v>Block</x:v>
      </x:c>
      <x:c r="G6" s="26" t="str">
        <x:v>Approved workflow with PII tokenization and audit</x:v>
      </x:c>
      <x:c r="H6" s="26" t="str">
        <x:v>Use case-specific approval required.</x:v>
      </x:c>
    </x:row>
    <x:row r="7">
      <x:c r="A7" s="26" t="str">
        <x:v>RAG knowledge search</x:v>
      </x:c>
      <x:c r="B7" s="26" t="str">
        <x:v>Allow</x:v>
      </x:c>
      <x:c r="C7" s="26" t="str">
        <x:v>Allow</x:v>
      </x:c>
      <x:c r="D7" s="26" t="str">
        <x:v>Allow with ACLs</x:v>
      </x:c>
      <x:c r="E7" s="26" t="str">
        <x:v>Exception Required</x:v>
      </x:c>
      <x:c r="F7" s="26" t="str">
        <x:v>Block</x:v>
      </x:c>
      <x:c r="G7" s="26" t="str">
        <x:v>RAG ACL inheritance + source citation + retrieval logs</x:v>
      </x:c>
      <x:c r="H7" s="26" t="str">
        <x:v>Do not index restricted sources by default.</x:v>
      </x:c>
    </x:row>
    <x:row r="8">
      <x:c r="A8" s="26" t="str">
        <x:v>Agent sends email / changes ticket</x:v>
      </x:c>
      <x:c r="B8" s="26" t="str">
        <x:v>Allow</x:v>
      </x:c>
      <x:c r="C8" s="26" t="str">
        <x:v>Warn</x:v>
      </x:c>
      <x:c r="D8" s="26" t="str">
        <x:v>Human Approval</x:v>
      </x:c>
      <x:c r="E8" s="26" t="str">
        <x:v>Exception Required</x:v>
      </x:c>
      <x:c r="F8" s="26" t="str">
        <x:v>Block</x:v>
      </x:c>
      <x:c r="G8" s="26" t="str">
        <x:v>Tool permission broker + human-in-loop</x:v>
      </x:c>
      <x:c r="H8" s="26" t="str">
        <x:v>Agent actions must be auditable.</x:v>
      </x:c>
    </x:row>
    <x:row r="9">
      <x:c r="A9" s="26" t="str">
        <x:v>Agent modifies cloud/production</x:v>
      </x:c>
      <x:c r="B9" s="26" t="str">
        <x:v>Block</x:v>
      </x:c>
      <x:c r="C9" s="26" t="str">
        <x:v>Exception Required</x:v>
      </x:c>
      <x:c r="D9" s="26" t="str">
        <x:v>Exception Required</x:v>
      </x:c>
      <x:c r="E9" s="26" t="str">
        <x:v>Block</x:v>
      </x:c>
      <x:c r="F9" s="26" t="str">
        <x:v>Block</x:v>
      </x:c>
      <x:c r="G9" s="26" t="str">
        <x:v>No direct production changes unless formal change approval</x:v>
      </x:c>
      <x:c r="H9" s="26" t="str">
        <x:v>Usually too risky for general adoption.</x:v>
      </x:c>
    </x:row>
    <x:row r="10">
      <x:c r="A10" s="26"/>
      <x:c r="B10" s="26"/>
      <x:c r="C10" s="26"/>
      <x:c r="D10" s="26"/>
      <x:c r="E10" s="26"/>
      <x:c r="F10" s="26"/>
      <x:c r="G10" s="26"/>
      <x:c r="H10" s="26"/>
    </x:row>
    <x:row r="11">
      <x:c r="A11" s="26"/>
      <x:c r="B11" s="26"/>
      <x:c r="C11" s="26"/>
      <x:c r="D11" s="26"/>
      <x:c r="E11" s="26"/>
      <x:c r="F11" s="26"/>
      <x:c r="G11" s="26"/>
      <x:c r="H11" s="26"/>
    </x:row>
    <x:row r="12">
      <x:c r="A12" s="26"/>
      <x:c r="B12" s="26"/>
      <x:c r="C12" s="26"/>
      <x:c r="D12" s="26"/>
      <x:c r="E12" s="26"/>
      <x:c r="F12" s="26"/>
      <x:c r="G12" s="26"/>
      <x:c r="H12" s="26"/>
    </x:row>
    <x:row r="13">
      <x:c r="A13" s="26"/>
      <x:c r="B13" s="26"/>
      <x:c r="C13" s="26"/>
      <x:c r="D13" s="26"/>
      <x:c r="E13" s="26"/>
      <x:c r="F13" s="26"/>
      <x:c r="G13" s="26"/>
      <x:c r="H13" s="26"/>
    </x:row>
    <x:row r="14">
      <x:c r="A14" s="26"/>
      <x:c r="B14" s="26"/>
      <x:c r="C14" s="26"/>
      <x:c r="D14" s="26"/>
      <x:c r="E14" s="26"/>
      <x:c r="F14" s="26"/>
      <x:c r="G14" s="26"/>
      <x:c r="H14" s="26"/>
    </x:row>
    <x:row r="15">
      <x:c r="A15" s="26"/>
      <x:c r="B15" s="26"/>
      <x:c r="C15" s="26"/>
      <x:c r="D15" s="26"/>
      <x:c r="E15" s="26"/>
      <x:c r="F15" s="26"/>
      <x:c r="G15" s="26"/>
      <x:c r="H15" s="26"/>
    </x:row>
    <x:row r="16">
      <x:c r="A16" s="26"/>
      <x:c r="B16" s="26"/>
      <x:c r="C16" s="26"/>
      <x:c r="D16" s="26"/>
      <x:c r="E16" s="26"/>
      <x:c r="F16" s="26"/>
      <x:c r="G16" s="26"/>
      <x:c r="H16" s="26"/>
    </x:row>
    <x:row r="17">
      <x:c r="A17" s="26"/>
      <x:c r="B17" s="26"/>
      <x:c r="C17" s="26"/>
      <x:c r="D17" s="26"/>
      <x:c r="E17" s="26"/>
      <x:c r="F17" s="26"/>
      <x:c r="G17" s="26"/>
      <x:c r="H17" s="26"/>
    </x:row>
    <x:row r="18">
      <x:c r="A18" s="26"/>
      <x:c r="B18" s="26"/>
      <x:c r="C18" s="26"/>
      <x:c r="D18" s="26"/>
      <x:c r="E18" s="26"/>
      <x:c r="F18" s="26"/>
      <x:c r="G18" s="26"/>
      <x:c r="H18" s="26"/>
    </x:row>
    <x:row r="19">
      <x:c r="A19" s="26"/>
      <x:c r="B19" s="26"/>
      <x:c r="C19" s="26"/>
      <x:c r="D19" s="26"/>
      <x:c r="E19" s="26"/>
      <x:c r="F19" s="26"/>
      <x:c r="G19" s="26"/>
      <x:c r="H19" s="26"/>
    </x:row>
    <x:row r="20">
      <x:c r="A20" s="26"/>
      <x:c r="B20" s="26"/>
      <x:c r="C20" s="26"/>
      <x:c r="D20" s="26"/>
      <x:c r="E20" s="26"/>
      <x:c r="F20" s="26"/>
      <x:c r="G20" s="26"/>
      <x:c r="H20" s="26"/>
    </x:row>
    <x:row r="21">
      <x:c r="A21" s="26"/>
      <x:c r="B21" s="26"/>
      <x:c r="C21" s="26"/>
      <x:c r="D21" s="26"/>
      <x:c r="E21" s="26"/>
      <x:c r="F21" s="26"/>
      <x:c r="G21" s="26"/>
      <x:c r="H21" s="26"/>
    </x:row>
    <x:row r="22">
      <x:c r="A22" s="26"/>
      <x:c r="B22" s="26"/>
      <x:c r="C22" s="26"/>
      <x:c r="D22" s="26"/>
      <x:c r="E22" s="26"/>
      <x:c r="F22" s="26"/>
      <x:c r="G22" s="26"/>
      <x:c r="H22" s="26"/>
    </x:row>
    <x:row r="23">
      <x:c r="A23" s="26"/>
      <x:c r="B23" s="26"/>
      <x:c r="C23" s="26"/>
      <x:c r="D23" s="26"/>
      <x:c r="E23" s="26"/>
      <x:c r="F23" s="26"/>
      <x:c r="G23" s="26"/>
      <x:c r="H23" s="26"/>
    </x:row>
    <x:row r="24">
      <x:c r="A24" s="26"/>
      <x:c r="B24" s="26"/>
      <x:c r="C24" s="26"/>
      <x:c r="D24" s="26"/>
      <x:c r="E24" s="26"/>
      <x:c r="F24" s="26"/>
      <x:c r="G24" s="26"/>
      <x:c r="H24" s="26"/>
    </x:row>
    <x:row r="25">
      <x:c r="A25" s="26"/>
      <x:c r="B25" s="26"/>
      <x:c r="C25" s="26"/>
      <x:c r="D25" s="26"/>
      <x:c r="E25" s="26"/>
      <x:c r="F25" s="26"/>
      <x:c r="G25" s="26"/>
      <x:c r="H25" s="26"/>
    </x:row>
    <x:row r="26">
      <x:c r="A26" s="26"/>
      <x:c r="B26" s="26"/>
      <x:c r="C26" s="26"/>
      <x:c r="D26" s="26"/>
      <x:c r="E26" s="26"/>
      <x:c r="F26" s="26"/>
      <x:c r="G26" s="26"/>
      <x:c r="H26" s="26"/>
    </x:row>
    <x:row r="27">
      <x:c r="A27" s="26"/>
      <x:c r="B27" s="26"/>
      <x:c r="C27" s="26"/>
      <x:c r="D27" s="26"/>
      <x:c r="E27" s="26"/>
      <x:c r="F27" s="26"/>
      <x:c r="G27" s="26"/>
      <x:c r="H27" s="26"/>
    </x:row>
    <x:row r="28">
      <x:c r="A28" s="26"/>
      <x:c r="B28" s="26"/>
      <x:c r="C28" s="26"/>
      <x:c r="D28" s="26"/>
      <x:c r="E28" s="26"/>
      <x:c r="F28" s="26"/>
      <x:c r="G28" s="26"/>
      <x:c r="H28" s="26"/>
    </x:row>
    <x:row r="29">
      <x:c r="A29" s="26"/>
      <x:c r="B29" s="26"/>
      <x:c r="C29" s="26"/>
      <x:c r="D29" s="26"/>
      <x:c r="E29" s="26"/>
      <x:c r="F29" s="26"/>
      <x:c r="G29" s="26"/>
      <x:c r="H29" s="26"/>
    </x:row>
    <x:row r="30">
      <x:c r="A30" s="26"/>
      <x:c r="B30" s="26"/>
      <x:c r="C30" s="26"/>
      <x:c r="D30" s="26"/>
      <x:c r="E30" s="26"/>
      <x:c r="F30" s="26"/>
      <x:c r="G30" s="26"/>
      <x:c r="H30" s="26"/>
    </x:row>
    <x:row r="31">
      <x:c r="A31" s="26"/>
      <x:c r="B31" s="26"/>
      <x:c r="C31" s="26"/>
      <x:c r="D31" s="26"/>
      <x:c r="E31" s="26"/>
      <x:c r="F31" s="26"/>
      <x:c r="G31" s="26"/>
      <x:c r="H31" s="26"/>
    </x:row>
    <x:row r="32">
      <x:c r="A32" s="26"/>
      <x:c r="B32" s="26"/>
      <x:c r="C32" s="26"/>
      <x:c r="D32" s="26"/>
      <x:c r="E32" s="26"/>
      <x:c r="F32" s="26"/>
      <x:c r="G32" s="26"/>
      <x:c r="H32" s="26"/>
    </x:row>
    <x:row r="33">
      <x:c r="A33" s="26"/>
      <x:c r="B33" s="26"/>
      <x:c r="C33" s="26"/>
      <x:c r="D33" s="26"/>
      <x:c r="E33" s="26"/>
      <x:c r="F33" s="26"/>
      <x:c r="G33" s="26"/>
      <x:c r="H33" s="26"/>
    </x:row>
    <x:row r="34">
      <x:c r="A34" s="26"/>
      <x:c r="B34" s="26"/>
      <x:c r="C34" s="26"/>
      <x:c r="D34" s="26"/>
      <x:c r="E34" s="26"/>
      <x:c r="F34" s="26"/>
      <x:c r="G34" s="26"/>
      <x:c r="H34" s="26"/>
    </x:row>
    <x:row r="35">
      <x:c r="A35" s="26"/>
      <x:c r="B35" s="26"/>
      <x:c r="C35" s="26"/>
      <x:c r="D35" s="26"/>
      <x:c r="E35" s="26"/>
      <x:c r="F35" s="26"/>
      <x:c r="G35" s="26"/>
      <x:c r="H35" s="26"/>
    </x:row>
    <x:row r="36">
      <x:c r="A36" s="26"/>
      <x:c r="B36" s="26"/>
      <x:c r="C36" s="26"/>
      <x:c r="D36" s="26"/>
      <x:c r="E36" s="26"/>
      <x:c r="F36" s="26"/>
      <x:c r="G36" s="26"/>
      <x:c r="H36" s="26"/>
    </x:row>
    <x:row r="37">
      <x:c r="A37" s="26"/>
      <x:c r="B37" s="26"/>
      <x:c r="C37" s="26"/>
      <x:c r="D37" s="26"/>
      <x:c r="E37" s="26"/>
      <x:c r="F37" s="26"/>
      <x:c r="G37" s="26"/>
      <x:c r="H37" s="26"/>
    </x:row>
    <x:row r="38">
      <x:c r="A38" s="26"/>
      <x:c r="B38" s="26"/>
      <x:c r="C38" s="26"/>
      <x:c r="D38" s="26"/>
      <x:c r="E38" s="26"/>
      <x:c r="F38" s="26"/>
      <x:c r="G38" s="26"/>
      <x:c r="H38" s="26"/>
    </x:row>
    <x:row r="39">
      <x:c r="A39" s="26"/>
      <x:c r="B39" s="26"/>
      <x:c r="C39" s="26"/>
      <x:c r="D39" s="26"/>
      <x:c r="E39" s="26"/>
      <x:c r="F39" s="26"/>
      <x:c r="G39" s="26"/>
      <x:c r="H39" s="26"/>
    </x:row>
    <x:row r="40">
      <x:c r="A40" s="26"/>
      <x:c r="B40" s="26"/>
      <x:c r="C40" s="26"/>
      <x:c r="D40" s="26"/>
      <x:c r="E40" s="26"/>
      <x:c r="F40" s="26"/>
      <x:c r="G40" s="26"/>
      <x:c r="H40" s="26"/>
    </x:row>
    <x:row r="41">
      <x:c r="A41" s="26"/>
      <x:c r="B41" s="26"/>
      <x:c r="C41" s="26"/>
      <x:c r="D41" s="26"/>
      <x:c r="E41" s="26"/>
      <x:c r="F41" s="26"/>
      <x:c r="G41" s="26"/>
      <x:c r="H41" s="26"/>
    </x:row>
    <x:row r="42">
      <x:c r="A42" s="26"/>
      <x:c r="B42" s="26"/>
      <x:c r="C42" s="26"/>
      <x:c r="D42" s="26"/>
      <x:c r="E42" s="26"/>
      <x:c r="F42" s="26"/>
      <x:c r="G42" s="26"/>
      <x:c r="H42" s="26"/>
    </x:row>
    <x:row r="43">
      <x:c r="A43" s="26"/>
      <x:c r="B43" s="26"/>
      <x:c r="C43" s="26"/>
      <x:c r="D43" s="26"/>
      <x:c r="E43" s="26"/>
      <x:c r="F43" s="26"/>
      <x:c r="G43" s="26"/>
      <x:c r="H43" s="26"/>
    </x:row>
    <x:row r="44">
      <x:c r="A44" s="26"/>
      <x:c r="B44" s="26"/>
      <x:c r="C44" s="26"/>
      <x:c r="D44" s="26"/>
      <x:c r="E44" s="26"/>
      <x:c r="F44" s="26"/>
      <x:c r="G44" s="26"/>
      <x:c r="H44" s="26"/>
    </x:row>
    <x:row r="45">
      <x:c r="A45" s="26"/>
      <x:c r="B45" s="26"/>
      <x:c r="C45" s="26"/>
      <x:c r="D45" s="26"/>
      <x:c r="E45" s="26"/>
      <x:c r="F45" s="26"/>
      <x:c r="G45" s="26"/>
      <x:c r="H45" s="26"/>
    </x:row>
    <x:row r="46">
      <x:c r="A46" s="26"/>
      <x:c r="B46" s="26"/>
      <x:c r="C46" s="26"/>
      <x:c r="D46" s="26"/>
      <x:c r="E46" s="26"/>
      <x:c r="F46" s="26"/>
      <x:c r="G46" s="26"/>
      <x:c r="H46" s="26"/>
    </x:row>
    <x:row r="47">
      <x:c r="A47" s="26"/>
      <x:c r="B47" s="26"/>
      <x:c r="C47" s="26"/>
      <x:c r="D47" s="26"/>
      <x:c r="E47" s="26"/>
      <x:c r="F47" s="26"/>
      <x:c r="G47" s="26"/>
      <x:c r="H47" s="26"/>
    </x:row>
    <x:row r="48">
      <x:c r="A48" s="26"/>
      <x:c r="B48" s="26"/>
      <x:c r="C48" s="26"/>
      <x:c r="D48" s="26"/>
      <x:c r="E48" s="26"/>
      <x:c r="F48" s="26"/>
      <x:c r="G48" s="26"/>
      <x:c r="H48" s="26"/>
    </x:row>
    <x:row r="49">
      <x:c r="A49" s="26"/>
      <x:c r="B49" s="26"/>
      <x:c r="C49" s="26"/>
      <x:c r="D49" s="26"/>
      <x:c r="E49" s="26"/>
      <x:c r="F49" s="26"/>
      <x:c r="G49" s="26"/>
      <x:c r="H49" s="26"/>
    </x:row>
    <x:row r="50">
      <x:c r="A50" s="26"/>
      <x:c r="B50" s="26"/>
      <x:c r="C50" s="26"/>
      <x:c r="D50" s="26"/>
      <x:c r="E50" s="26"/>
      <x:c r="F50" s="26"/>
      <x:c r="G50" s="26"/>
      <x:c r="H50" s="26"/>
    </x:row>
  </x:sheetData>
  <x:pageMargins left="0.7" right="0.7" top="0.75" bottom="0.75" header="0.3" footer="0.3"/>
  <x:tableParts count="1">
    <x:tablePart xmlns:r="http://schemas.openxmlformats.org/officeDocument/2006/relationships" r:id="Racc4be927e66447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35" hidden="0" customWidth="1"/>
    <x:col min="4" max="4" width="55" hidden="0" customWidth="1"/>
    <x:col min="5" max="5" width="12" hidden="0" customWidth="1"/>
    <x:col min="6" max="6" width="32" hidden="0" customWidth="1"/>
    <x:col min="7" max="7" width="25" hidden="0" customWidth="1"/>
    <x:col min="8" max="8" width="28" hidden="0" customWidth="1"/>
    <x:col min="9" max="9" width="18" hidden="0" customWidth="1"/>
    <x:col min="10" max="10" width="22" hidden="0" customWidth="1"/>
    <x:col min="11" max="11" width="35" hidden="0" customWidth="1"/>
  </x:cols>
  <x:sheetData>
    <x:row r="1" ht="32" customHeight="1">
      <x:c r="A1" s="6" t="str">
        <x:v>Detection ID</x:v>
      </x:c>
      <x:c r="B1" s="6" t="str">
        <x:v>Detection Use Case</x:v>
      </x:c>
      <x:c r="C1" s="6" t="str">
        <x:v>Primary Log Sources</x:v>
      </x:c>
      <x:c r="D1" s="6" t="str">
        <x:v>Logic / Signal</x:v>
      </x:c>
      <x:c r="E1" s="6" t="str">
        <x:v>Severity</x:v>
      </x:c>
      <x:c r="F1" s="6" t="str">
        <x:v>Response Action</x:v>
      </x:c>
      <x:c r="G1" s="6" t="str">
        <x:v>Mapped Risk</x:v>
      </x:c>
      <x:c r="H1" s="6" t="str">
        <x:v>Framework Mapping</x:v>
      </x:c>
      <x:c r="I1" s="6" t="str">
        <x:v>Status</x:v>
      </x:c>
      <x:c r="J1" s="6" t="str">
        <x:v>Owner</x:v>
      </x:c>
      <x:c r="K1" s="6" t="str">
        <x:v>Notes</x:v>
      </x:c>
    </x:row>
    <x:row r="2">
      <x:c r="A2" s="26" t="str">
        <x:v>DET-AI-001</x:v>
      </x:c>
      <x:c r="B2" s="26" t="str">
        <x:v>Sensitive data sent to public AI</x:v>
      </x:c>
      <x:c r="C2" s="26" t="str">
        <x:v>SWG/CASB, DLP, Identity</x:v>
      </x:c>
      <x:c r="D2" s="26" t="str">
        <x:v>Prompt/upload to unapproved AI domain contains PII, confidential keywords, source code, or classified labels</x:v>
      </x:c>
      <x:c r="E2" s="26" t="str">
        <x:v>Critical</x:v>
      </x:c>
      <x:c r="F2" s="26" t="str">
        <x:v>Block or warn; alert SOC; notify data owner</x:v>
      </x:c>
      <x:c r="G2" s="26" t="str">
        <x:v>Data leakage</x:v>
      </x:c>
      <x:c r="H2" s="26" t="str">
        <x:v>NIST GenAI Profile; OWASP LLM06</x:v>
      </x:c>
      <x:c r="I2" s="26" t="str">
        <x:v>Planned</x:v>
      </x:c>
      <x:c r="J2" s="26" t="str">
        <x:v>SOC / DLP</x:v>
      </x:c>
      <x:c r="K2" s="26" t="str">
        <x:v>Tune DLP to reduce false positives.</x:v>
      </x:c>
    </x:row>
    <x:row r="3">
      <x:c r="A3" s="26" t="str">
        <x:v>DET-AI-002</x:v>
      </x:c>
      <x:c r="B3" s="26" t="str">
        <x:v>Secrets pasted into AI</x:v>
      </x:c>
      <x:c r="C3" s="26" t="str">
        <x:v>DLP, gateway logs, secret scanner</x:v>
      </x:c>
      <x:c r="D3" s="26" t="str">
        <x:v>AWS/GCP/Azure keys, GitHub tokens, private keys, JWTs, .env patterns in prompt/file</x:v>
      </x:c>
      <x:c r="E3" s="26" t="str">
        <x:v>Critical</x:v>
      </x:c>
      <x:c r="F3" s="26" t="str">
        <x:v>Block; create incident; rotate secret</x:v>
      </x:c>
      <x:c r="G3" s="26" t="str">
        <x:v>Credential leakage</x:v>
      </x:c>
      <x:c r="H3" s="26" t="str">
        <x:v>OWASP LLM06; NIST GenAI Profile</x:v>
      </x:c>
      <x:c r="I3" s="26" t="str">
        <x:v>Planned</x:v>
      </x:c>
      <x:c r="J3" s="26" t="str">
        <x:v>Security Engineering</x:v>
      </x:c>
      <x:c r="K3" s="26" t="str">
        <x:v>Use trufflehog/detect-secrets patterns.</x:v>
      </x:c>
    </x:row>
    <x:row r="4">
      <x:c r="A4" s="26" t="str">
        <x:v>DET-AI-003</x:v>
      </x:c>
      <x:c r="B4" s="26" t="str">
        <x:v>Unapproved AI SaaS usage</x:v>
      </x:c>
      <x:c r="C4" s="26" t="str">
        <x:v>SWG/CASB, DNS, firewall</x:v>
      </x:c>
      <x:c r="D4" s="26" t="str">
        <x:v>User accesses known AI tool not in approved catalogue</x:v>
      </x:c>
      <x:c r="E4" s="26" t="str">
        <x:v>High</x:v>
      </x:c>
      <x:c r="F4" s="26" t="str">
        <x:v>Warn/block based on phase; route to approved portal</x:v>
      </x:c>
      <x:c r="G4" s="26" t="str">
        <x:v>Shadow AI</x:v>
      </x:c>
      <x:c r="H4" s="26" t="str">
        <x:v>NIST AI RMF Measure; CSA AICM</x:v>
      </x:c>
      <x:c r="I4" s="26" t="str">
        <x:v>Planned</x:v>
      </x:c>
      <x:c r="J4" s="26" t="str">
        <x:v>Network Security</x:v>
      </x:c>
      <x:c r="K4" s="26" t="str">
        <x:v>Start in monitor-only mode.</x:v>
      </x:c>
    </x:row>
    <x:row r="5">
      <x:c r="A5" s="26" t="str">
        <x:v>DET-AI-004</x:v>
      </x:c>
      <x:c r="B5" s="26" t="str">
        <x:v>Risky AI OAuth grant</x:v>
      </x:c>
      <x:c r="C5" s="26" t="str">
        <x:v>Google/M365/Okta/GitHub audit logs</x:v>
      </x:c>
      <x:c r="D5" s="26" t="str">
        <x:v>New OAuth app with AI-related name requests Drive/Gmail/Slack/GitHub read/write scopes</x:v>
      </x:c>
      <x:c r="E5" s="26" t="str">
        <x:v>Critical</x:v>
      </x:c>
      <x:c r="F5" s="26" t="str">
        <x:v>Revoke or approve; investigate user/data access</x:v>
      </x:c>
      <x:c r="G5" s="26" t="str">
        <x:v>SaaS data exposure</x:v>
      </x:c>
      <x:c r="H5" s="26" t="str">
        <x:v>CSA AICM; NIST GenAI Profile</x:v>
      </x:c>
      <x:c r="I5" s="26" t="str">
        <x:v>Planned</x:v>
      </x:c>
      <x:c r="J5" s="26" t="str">
        <x:v>SaaS Security</x:v>
      </x:c>
      <x:c r="K5" s="26" t="str">
        <x:v>Maintain approved app list.</x:v>
      </x:c>
    </x:row>
    <x:row r="6">
      <x:c r="A6" s="26" t="str">
        <x:v>DET-AI-005</x:v>
      </x:c>
      <x:c r="B6" s="26" t="str">
        <x:v>Prompt injection attempt</x:v>
      </x:c>
      <x:c r="C6" s="26" t="str">
        <x:v>LLM gateway/app logs</x:v>
      </x:c>
      <x:c r="D6" s="26" t="str">
        <x:v>Prompt contains instruction override, system prompt request, exfiltrate docs, bypass controls, jailbreak indicators</x:v>
      </x:c>
      <x:c r="E6" s="26" t="str">
        <x:v>Medium</x:v>
      </x:c>
      <x:c r="F6" s="26" t="str">
        <x:v>Log/alert; block if targeting internal/RAG app</x:v>
      </x:c>
      <x:c r="G6" s="26" t="str">
        <x:v>Prompt injection</x:v>
      </x:c>
      <x:c r="H6" s="26" t="str">
        <x:v>OWASP LLM01; MITRE ATLAS</x:v>
      </x:c>
      <x:c r="I6" s="26" t="str">
        <x:v>Planned</x:v>
      </x:c>
      <x:c r="J6" s="26" t="str">
        <x:v>AppSec / SOC</x:v>
      </x:c>
      <x:c r="K6" s="26" t="str">
        <x:v>Classifier + pattern detection.</x:v>
      </x:c>
    </x:row>
    <x:row r="7">
      <x:c r="A7" s="26" t="str">
        <x:v>DET-AI-006</x:v>
      </x:c>
      <x:c r="B7" s="26" t="str">
        <x:v>RAG ACL violation attempt</x:v>
      </x:c>
      <x:c r="C7" s="26" t="str">
        <x:v>RAG retrieval logs, identity logs</x:v>
      </x:c>
      <x:c r="D7" s="26" t="str">
        <x:v>User retrieves or requests documents outside their source-system permissions</x:v>
      </x:c>
      <x:c r="E7" s="26" t="str">
        <x:v>Critical</x:v>
      </x:c>
      <x:c r="F7" s="26" t="str">
        <x:v>Block response; incident; fix ACL/index</x:v>
      </x:c>
      <x:c r="G7" s="26" t="str">
        <x:v>Unauthorized data access</x:v>
      </x:c>
      <x:c r="H7" s="26" t="str">
        <x:v>OWASP LLM06; NIST AI RMF Measure</x:v>
      </x:c>
      <x:c r="I7" s="26" t="str">
        <x:v>Planned</x:v>
      </x:c>
      <x:c r="J7" s="26" t="str">
        <x:v>AI Platform</x:v>
      </x:c>
      <x:c r="K7" s="26" t="str">
        <x:v>Requires document IDs in logs.</x:v>
      </x:c>
    </x:row>
    <x:row r="8">
      <x:c r="A8" s="26" t="str">
        <x:v>DET-AI-007</x:v>
      </x:c>
      <x:c r="B8" s="26" t="str">
        <x:v>Agent risky tool call</x:v>
      </x:c>
      <x:c r="C8" s="26" t="str">
        <x:v>Agent logs, API logs, IAM logs</x:v>
      </x:c>
      <x:c r="D8" s="26" t="str">
        <x:v>Agent calls email/send, db export, cloud modify, delete, production commands, or unusual tool chain</x:v>
      </x:c>
      <x:c r="E8" s="26" t="str">
        <x:v>Critical</x:v>
      </x:c>
      <x:c r="F8" s="26" t="str">
        <x:v>Require approval; alert SOC</x:v>
      </x:c>
      <x:c r="G8" s="26" t="str">
        <x:v>Excessive agency</x:v>
      </x:c>
      <x:c r="H8" s="26" t="str">
        <x:v>OWASP LLM08; MITRE ATLAS</x:v>
      </x:c>
      <x:c r="I8" s="26" t="str">
        <x:v>Planned</x:v>
      </x:c>
      <x:c r="J8" s="26" t="str">
        <x:v>AI Platform / SOC</x:v>
      </x:c>
      <x:c r="K8" s="26" t="str">
        <x:v>Separate read/write tools.</x:v>
      </x:c>
    </x:row>
    <x:row r="9">
      <x:c r="A9" s="26" t="str">
        <x:v>DET-AI-008</x:v>
      </x:c>
      <x:c r="B9" s="26" t="str">
        <x:v>LLM API abuse/cost spike</x:v>
      </x:c>
      <x:c r="C9" s="26" t="str">
        <x:v>Gateway logs, billing, API gateway</x:v>
      </x:c>
      <x:c r="D9" s="26" t="str">
        <x:v>High token volume, unusual model, repeated failures, new client/app, abnormal cost</x:v>
      </x:c>
      <x:c r="E9" s="26" t="str">
        <x:v>Medium</x:v>
      </x:c>
      <x:c r="F9" s="26" t="str">
        <x:v>Throttle; investigate key; rotate if needed</x:v>
      </x:c>
      <x:c r="G9" s="26" t="str">
        <x:v>Model DoS / abuse</x:v>
      </x:c>
      <x:c r="H9" s="26" t="str">
        <x:v>OWASP LLM04</x:v>
      </x:c>
      <x:c r="I9" s="26" t="str">
        <x:v>Planned</x:v>
      </x:c>
      <x:c r="J9" s="26" t="str">
        <x:v>AI Platform</x:v>
      </x:c>
      <x:c r="K9" s="26" t="str">
        <x:v>Use per-user budget baselines.</x:v>
      </x:c>
    </x:row>
    <x:row r="10">
      <x:c r="A10" s="26" t="str">
        <x:v>DET-AI-009</x:v>
      </x:c>
      <x:c r="B10" s="26" t="str">
        <x:v>AI browser extension risk</x:v>
      </x:c>
      <x:c r="C10" s="26" t="str">
        <x:v>MDM, browser management, EDR</x:v>
      </x:c>
      <x:c r="D10" s="26" t="str">
        <x:v>Extension with read-all-sites, clipboard, Gmail/Drive, internal app access, or unknown publisher</x:v>
      </x:c>
      <x:c r="E10" s="26" t="str">
        <x:v>High</x:v>
      </x:c>
      <x:c r="F10" s="26" t="str">
        <x:v>Block/remove; notify user; review extension</x:v>
      </x:c>
      <x:c r="G10" s="26" t="str">
        <x:v>Shadow AI / data exposure</x:v>
      </x:c>
      <x:c r="H10" s="26" t="str">
        <x:v>CSA AICM</x:v>
      </x:c>
      <x:c r="I10" s="26" t="str">
        <x:v>Planned</x:v>
      </x:c>
      <x:c r="J10" s="26" t="str">
        <x:v>Endpoint / IT</x:v>
      </x:c>
      <x:c r="K10" s="26" t="str">
        <x:v>High value control.</x:v>
      </x:c>
    </x:row>
    <x:row r="11">
      <x:c r="A11" s="26" t="str">
        <x:v>DET-AI-010</x:v>
      </x:c>
      <x:c r="B11" s="26" t="str">
        <x:v>AI-generated insecure code in PR</x:v>
      </x:c>
      <x:c r="C11" s="26" t="str">
        <x:v>GitHub/GitLab, CI/CD, SAST/SCA/secrets</x:v>
      </x:c>
      <x:c r="D11" s="26" t="str">
        <x:v>PR after AI-assisted coding adds insecure pattern, secret, unsafe dependency, auth/IAM change</x:v>
      </x:c>
      <x:c r="E11" s="26" t="str">
        <x:v>High</x:v>
      </x:c>
      <x:c r="F11" s="26" t="str">
        <x:v>Block merge; AppSec review</x:v>
      </x:c>
      <x:c r="G11" s="26" t="str">
        <x:v>Insecure output handling / supply chain</x:v>
      </x:c>
      <x:c r="H11" s="26" t="str">
        <x:v>OWASP LLM02/LLM05</x:v>
      </x:c>
      <x:c r="I11" s="26" t="str">
        <x:v>Planned</x:v>
      </x:c>
      <x:c r="J11" s="26" t="str">
        <x:v>AppSec / DevSecOps</x:v>
      </x:c>
      <x:c r="K11" s="26" t="str">
        <x:v>Focus on critical repos first.</x:v>
      </x:c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</x:row>
  </x:sheetData>
  <x:dataValidations count="2">
    <x:dataValidation type="list" sqref="E2:E100">
      <x:formula1>"Low,Medium,High,Critical"</x:formula1>
    </x:dataValidation>
    <x:dataValidation type="list" sqref="I2:I100">
      <x:formula1>"Not Started,Planned,Partial,Implemented,Implemented &amp; Tested,Automated &amp; Monitored,N/A"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59095541ff458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55" hidden="0" customWidth="1"/>
    <x:col min="4" max="4" width="35" hidden="0" customWidth="1"/>
    <x:col min="5" max="5" width="45" hidden="0" customWidth="1"/>
    <x:col min="6" max="6" width="12" hidden="0" customWidth="1"/>
    <x:col min="7" max="7" width="18" hidden="0" customWidth="1"/>
    <x:col min="8" max="8" width="35" hidden="0" customWidth="1"/>
  </x:cols>
  <x:sheetData>
    <x:row r="1" ht="32" customHeight="1">
      <x:c r="A1" s="6" t="str">
        <x:v>Question ID</x:v>
      </x:c>
      <x:c r="B1" s="6" t="str">
        <x:v>Review Area</x:v>
      </x:c>
      <x:c r="C1" s="6" t="str">
        <x:v>Question</x:v>
      </x:c>
      <x:c r="D1" s="6" t="str">
        <x:v>Risk if Weak</x:v>
      </x:c>
      <x:c r="E1" s="6" t="str">
        <x:v>Evidence / Expected Answer</x:v>
      </x:c>
      <x:c r="F1" s="6" t="str">
        <x:v>Priority</x:v>
      </x:c>
      <x:c r="G1" s="6" t="str">
        <x:v>Status</x:v>
      </x:c>
      <x:c r="H1" s="6" t="str">
        <x:v>Notes</x:v>
      </x:c>
    </x:row>
    <x:row r="2">
      <x:c r="A2" s="26" t="str">
        <x:v>VR-01</x:v>
      </x:c>
      <x:c r="B2" s="26" t="str">
        <x:v>Data Use</x:v>
      </x:c>
      <x:c r="C2" s="26" t="str">
        <x:v>Does the vendor use customer prompts/files/responses to train models by default?</x:v>
      </x:c>
      <x:c r="D2" s="26" t="str">
        <x:v>Company data could improve external models</x:v>
      </x:c>
      <x:c r="E2" s="26" t="str">
        <x:v>No training on company data; contractual commitment</x:v>
      </x:c>
      <x:c r="F2" s="26" t="str">
        <x:v>Critical</x:v>
      </x:c>
      <x:c r="G2" s="26" t="str">
        <x:v>Not Started</x:v>
      </x:c>
      <x:c r="H2" s="26" t="str"/>
    </x:row>
    <x:row r="3">
      <x:c r="A3" s="26" t="str">
        <x:v>VR-02</x:v>
      </x:c>
      <x:c r="B3" s="26" t="str">
        <x:v>Retention</x:v>
      </x:c>
      <x:c r="C3" s="26" t="str">
        <x:v>What is the prompt/file/response retention period and can it be configured?</x:v>
      </x:c>
      <x:c r="D3" s="26" t="str">
        <x:v>Sensitive data retained too long</x:v>
      </x:c>
      <x:c r="E3" s="26" t="str">
        <x:v>Retention period documented; configurable; deletion process</x:v>
      </x:c>
      <x:c r="F3" s="26" t="str">
        <x:v>Critical</x:v>
      </x:c>
      <x:c r="G3" s="26" t="str">
        <x:v>Not Started</x:v>
      </x:c>
      <x:c r="H3" s="26" t="str"/>
    </x:row>
    <x:row r="4">
      <x:c r="A4" s="26" t="str">
        <x:v>VR-03</x:v>
      </x:c>
      <x:c r="B4" s="26" t="str">
        <x:v>Access Control</x:v>
      </x:c>
      <x:c r="C4" s="26" t="str">
        <x:v>Does the product support SSO, SCIM, MFA, RBAC, and admin roles?</x:v>
      </x:c>
      <x:c r="D4" s="26" t="str">
        <x:v>Unmanaged account access</x:v>
      </x:c>
      <x:c r="E4" s="26" t="str">
        <x:v>SSO/SCIM enabled; roles documented</x:v>
      </x:c>
      <x:c r="F4" s="26" t="str">
        <x:v>High</x:v>
      </x:c>
      <x:c r="G4" s="26" t="str">
        <x:v>Not Started</x:v>
      </x:c>
      <x:c r="H4" s="26" t="str"/>
    </x:row>
    <x:row r="5">
      <x:c r="A5" s="26" t="str">
        <x:v>VR-04</x:v>
      </x:c>
      <x:c r="B5" s="26" t="str">
        <x:v>Logging</x:v>
      </x:c>
      <x:c r="C5" s="26" t="str">
        <x:v>What audit logs are available and can they be exported to SIEM?</x:v>
      </x:c>
      <x:c r="D5" s="26" t="str">
        <x:v>No investigation evidence</x:v>
      </x:c>
      <x:c r="E5" s="26" t="str">
        <x:v>User/model/file/action logs exportable</x:v>
      </x:c>
      <x:c r="F5" s="26" t="str">
        <x:v>High</x:v>
      </x:c>
      <x:c r="G5" s="26" t="str">
        <x:v>Not Started</x:v>
      </x:c>
      <x:c r="H5" s="26" t="str"/>
    </x:row>
    <x:row r="6">
      <x:c r="A6" s="26" t="str">
        <x:v>VR-05</x:v>
      </x:c>
      <x:c r="B6" s="26" t="str">
        <x:v>Data Residency</x:v>
      </x:c>
      <x:c r="C6" s="26" t="str">
        <x:v>Where is data processed and stored?</x:v>
      </x:c>
      <x:c r="D6" s="26" t="str">
        <x:v>Regulatory or contractual violation</x:v>
      </x:c>
      <x:c r="E6" s="26" t="str">
        <x:v>Regions documented and approved</x:v>
      </x:c>
      <x:c r="F6" s="26" t="str">
        <x:v>High</x:v>
      </x:c>
      <x:c r="G6" s="26" t="str">
        <x:v>Not Started</x:v>
      </x:c>
      <x:c r="H6" s="26" t="str"/>
    </x:row>
    <x:row r="7">
      <x:c r="A7" s="26" t="str">
        <x:v>VR-06</x:v>
      </x:c>
      <x:c r="B7" s="26" t="str">
        <x:v>Subprocessors</x:v>
      </x:c>
      <x:c r="C7" s="26" t="str">
        <x:v>Which subprocessors can access AI data?</x:v>
      </x:c>
      <x:c r="D7" s="26" t="str">
        <x:v>Unknown third-party exposure</x:v>
      </x:c>
      <x:c r="E7" s="26" t="str">
        <x:v>Subprocessor list and notification process</x:v>
      </x:c>
      <x:c r="F7" s="26" t="str">
        <x:v>High</x:v>
      </x:c>
      <x:c r="G7" s="26" t="str">
        <x:v>Not Started</x:v>
      </x:c>
      <x:c r="H7" s="26" t="str"/>
    </x:row>
    <x:row r="8">
      <x:c r="A8" s="26" t="str">
        <x:v>VR-07</x:v>
      </x:c>
      <x:c r="B8" s="26" t="str">
        <x:v>Security Testing</x:v>
      </x:c>
      <x:c r="C8" s="26" t="str">
        <x:v>Does vendor provide SOC 2/ISO 27001, pen test summary, vulnerability process, and incident notification SLA?</x:v>
      </x:c>
      <x:c r="D8" s="26" t="str">
        <x:v>Weak vendor security assurance</x:v>
      </x:c>
      <x:c r="E8" s="26" t="str">
        <x:v>Reports reviewed and acceptable</x:v>
      </x:c>
      <x:c r="F8" s="26" t="str">
        <x:v>High</x:v>
      </x:c>
      <x:c r="G8" s="26" t="str">
        <x:v>Not Started</x:v>
      </x:c>
      <x:c r="H8" s="26" t="str"/>
    </x:row>
    <x:row r="9">
      <x:c r="A9" s="26" t="str">
        <x:v>VR-08</x:v>
      </x:c>
      <x:c r="B9" s="26" t="str">
        <x:v>Model Controls</x:v>
      </x:c>
      <x:c r="C9" s="26" t="str">
        <x:v>Can admins restrict models, features, connectors, file uploads, and external sharing?</x:v>
      </x:c>
      <x:c r="D9" s="26" t="str">
        <x:v>Users bypass safe usage rules</x:v>
      </x:c>
      <x:c r="E9" s="26" t="str">
        <x:v>Admin controls tested</x:v>
      </x:c>
      <x:c r="F9" s="26" t="str">
        <x:v>High</x:v>
      </x:c>
      <x:c r="G9" s="26" t="str">
        <x:v>Not Started</x:v>
      </x:c>
      <x:c r="H9" s="26" t="str"/>
    </x:row>
    <x:row r="10">
      <x:c r="A10" s="26" t="str">
        <x:v>VR-09</x:v>
      </x:c>
      <x:c r="B10" s="26" t="str">
        <x:v>Connectors/OAuth</x:v>
      </x:c>
      <x:c r="C10" s="26" t="str">
        <x:v>What scopes are required for Google/M365/Slack/GitHub/Jira connectors?</x:v>
      </x:c>
      <x:c r="D10" s="26" t="str">
        <x:v>Overbroad data access</x:v>
      </x:c>
      <x:c r="E10" s="26" t="str">
        <x:v>Least-privilege scopes documented</x:v>
      </x:c>
      <x:c r="F10" s="26" t="str">
        <x:v>Critical</x:v>
      </x:c>
      <x:c r="G10" s="26" t="str">
        <x:v>Not Started</x:v>
      </x:c>
      <x:c r="H10" s="26" t="str"/>
    </x:row>
    <x:row r="11">
      <x:c r="A11" s="26" t="str">
        <x:v>VR-10</x:v>
      </x:c>
      <x:c r="B11" s="26" t="str">
        <x:v>Incident Response</x:v>
      </x:c>
      <x:c r="C11" s="26" t="str">
        <x:v>How will the vendor notify and support investigation of AI/data incidents?</x:v>
      </x:c>
      <x:c r="D11" s="26" t="str">
        <x:v>Delayed breach response</x:v>
      </x:c>
      <x:c r="E11" s="26" t="str">
        <x:v>Incident process and SLA in contract</x:v>
      </x:c>
      <x:c r="F11" s="26" t="str">
        <x:v>High</x:v>
      </x:c>
      <x:c r="G11" s="26" t="str">
        <x:v>Not Started</x:v>
      </x:c>
      <x:c r="H11" s="26" t="str"/>
    </x:row>
    <x:row r="12">
      <x:c r="A12" s="26"/>
      <x:c r="B12" s="26"/>
      <x:c r="C12" s="26"/>
      <x:c r="D12" s="26"/>
      <x:c r="E12" s="26"/>
      <x:c r="F12" s="26"/>
      <x:c r="G12" s="26"/>
      <x:c r="H12" s="26"/>
    </x:row>
    <x:row r="13">
      <x:c r="A13" s="26"/>
      <x:c r="B13" s="26"/>
      <x:c r="C13" s="26"/>
      <x:c r="D13" s="26"/>
      <x:c r="E13" s="26"/>
      <x:c r="F13" s="26"/>
      <x:c r="G13" s="26"/>
      <x:c r="H13" s="26"/>
    </x:row>
    <x:row r="14">
      <x:c r="A14" s="26"/>
      <x:c r="B14" s="26"/>
      <x:c r="C14" s="26"/>
      <x:c r="D14" s="26"/>
      <x:c r="E14" s="26"/>
      <x:c r="F14" s="26"/>
      <x:c r="G14" s="26"/>
      <x:c r="H14" s="26"/>
    </x:row>
    <x:row r="15">
      <x:c r="A15" s="26"/>
      <x:c r="B15" s="26"/>
      <x:c r="C15" s="26"/>
      <x:c r="D15" s="26"/>
      <x:c r="E15" s="26"/>
      <x:c r="F15" s="26"/>
      <x:c r="G15" s="26"/>
      <x:c r="H15" s="26"/>
    </x:row>
    <x:row r="16">
      <x:c r="A16" s="26"/>
      <x:c r="B16" s="26"/>
      <x:c r="C16" s="26"/>
      <x:c r="D16" s="26"/>
      <x:c r="E16" s="26"/>
      <x:c r="F16" s="26"/>
      <x:c r="G16" s="26"/>
      <x:c r="H16" s="26"/>
    </x:row>
    <x:row r="17">
      <x:c r="A17" s="26"/>
      <x:c r="B17" s="26"/>
      <x:c r="C17" s="26"/>
      <x:c r="D17" s="26"/>
      <x:c r="E17" s="26"/>
      <x:c r="F17" s="26"/>
      <x:c r="G17" s="26"/>
      <x:c r="H17" s="26"/>
    </x:row>
    <x:row r="18">
      <x:c r="A18" s="26"/>
      <x:c r="B18" s="26"/>
      <x:c r="C18" s="26"/>
      <x:c r="D18" s="26"/>
      <x:c r="E18" s="26"/>
      <x:c r="F18" s="26"/>
      <x:c r="G18" s="26"/>
      <x:c r="H18" s="26"/>
    </x:row>
    <x:row r="19">
      <x:c r="A19" s="26"/>
      <x:c r="B19" s="26"/>
      <x:c r="C19" s="26"/>
      <x:c r="D19" s="26"/>
      <x:c r="E19" s="26"/>
      <x:c r="F19" s="26"/>
      <x:c r="G19" s="26"/>
      <x:c r="H19" s="26"/>
    </x:row>
    <x:row r="20">
      <x:c r="A20" s="26"/>
      <x:c r="B20" s="26"/>
      <x:c r="C20" s="26"/>
      <x:c r="D20" s="26"/>
      <x:c r="E20" s="26"/>
      <x:c r="F20" s="26"/>
      <x:c r="G20" s="26"/>
      <x:c r="H20" s="26"/>
    </x:row>
    <x:row r="21">
      <x:c r="A21" s="26"/>
      <x:c r="B21" s="26"/>
      <x:c r="C21" s="26"/>
      <x:c r="D21" s="26"/>
      <x:c r="E21" s="26"/>
      <x:c r="F21" s="26"/>
      <x:c r="G21" s="26"/>
      <x:c r="H21" s="26"/>
    </x:row>
    <x:row r="22">
      <x:c r="A22" s="26"/>
      <x:c r="B22" s="26"/>
      <x:c r="C22" s="26"/>
      <x:c r="D22" s="26"/>
      <x:c r="E22" s="26"/>
      <x:c r="F22" s="26"/>
      <x:c r="G22" s="26"/>
      <x:c r="H22" s="26"/>
    </x:row>
    <x:row r="23">
      <x:c r="A23" s="26"/>
      <x:c r="B23" s="26"/>
      <x:c r="C23" s="26"/>
      <x:c r="D23" s="26"/>
      <x:c r="E23" s="26"/>
      <x:c r="F23" s="26"/>
      <x:c r="G23" s="26"/>
      <x:c r="H23" s="26"/>
    </x:row>
    <x:row r="24">
      <x:c r="A24" s="26"/>
      <x:c r="B24" s="26"/>
      <x:c r="C24" s="26"/>
      <x:c r="D24" s="26"/>
      <x:c r="E24" s="26"/>
      <x:c r="F24" s="26"/>
      <x:c r="G24" s="26"/>
      <x:c r="H24" s="26"/>
    </x:row>
    <x:row r="25">
      <x:c r="A25" s="26"/>
      <x:c r="B25" s="26"/>
      <x:c r="C25" s="26"/>
      <x:c r="D25" s="26"/>
      <x:c r="E25" s="26"/>
      <x:c r="F25" s="26"/>
      <x:c r="G25" s="26"/>
      <x:c r="H25" s="26"/>
    </x:row>
    <x:row r="26">
      <x:c r="A26" s="26"/>
      <x:c r="B26" s="26"/>
      <x:c r="C26" s="26"/>
      <x:c r="D26" s="26"/>
      <x:c r="E26" s="26"/>
      <x:c r="F26" s="26"/>
      <x:c r="G26" s="26"/>
      <x:c r="H26" s="26"/>
    </x:row>
    <x:row r="27">
      <x:c r="A27" s="26"/>
      <x:c r="B27" s="26"/>
      <x:c r="C27" s="26"/>
      <x:c r="D27" s="26"/>
      <x:c r="E27" s="26"/>
      <x:c r="F27" s="26"/>
      <x:c r="G27" s="26"/>
      <x:c r="H27" s="26"/>
    </x:row>
    <x:row r="28">
      <x:c r="A28" s="26"/>
      <x:c r="B28" s="26"/>
      <x:c r="C28" s="26"/>
      <x:c r="D28" s="26"/>
      <x:c r="E28" s="26"/>
      <x:c r="F28" s="26"/>
      <x:c r="G28" s="26"/>
      <x:c r="H28" s="26"/>
    </x:row>
    <x:row r="29">
      <x:c r="A29" s="26"/>
      <x:c r="B29" s="26"/>
      <x:c r="C29" s="26"/>
      <x:c r="D29" s="26"/>
      <x:c r="E29" s="26"/>
      <x:c r="F29" s="26"/>
      <x:c r="G29" s="26"/>
      <x:c r="H29" s="26"/>
    </x:row>
    <x:row r="30">
      <x:c r="A30" s="26"/>
      <x:c r="B30" s="26"/>
      <x:c r="C30" s="26"/>
      <x:c r="D30" s="26"/>
      <x:c r="E30" s="26"/>
      <x:c r="F30" s="26"/>
      <x:c r="G30" s="26"/>
      <x:c r="H30" s="26"/>
    </x:row>
    <x:row r="31">
      <x:c r="A31" s="26"/>
      <x:c r="B31" s="26"/>
      <x:c r="C31" s="26"/>
      <x:c r="D31" s="26"/>
      <x:c r="E31" s="26"/>
      <x:c r="F31" s="26"/>
      <x:c r="G31" s="26"/>
      <x:c r="H31" s="26"/>
    </x:row>
    <x:row r="32">
      <x:c r="A32" s="26"/>
      <x:c r="B32" s="26"/>
      <x:c r="C32" s="26"/>
      <x:c r="D32" s="26"/>
      <x:c r="E32" s="26"/>
      <x:c r="F32" s="26"/>
      <x:c r="G32" s="26"/>
      <x:c r="H32" s="26"/>
    </x:row>
    <x:row r="33">
      <x:c r="A33" s="26"/>
      <x:c r="B33" s="26"/>
      <x:c r="C33" s="26"/>
      <x:c r="D33" s="26"/>
      <x:c r="E33" s="26"/>
      <x:c r="F33" s="26"/>
      <x:c r="G33" s="26"/>
      <x:c r="H33" s="26"/>
    </x:row>
    <x:row r="34">
      <x:c r="A34" s="26"/>
      <x:c r="B34" s="26"/>
      <x:c r="C34" s="26"/>
      <x:c r="D34" s="26"/>
      <x:c r="E34" s="26"/>
      <x:c r="F34" s="26"/>
      <x:c r="G34" s="26"/>
      <x:c r="H34" s="26"/>
    </x:row>
    <x:row r="35">
      <x:c r="A35" s="26"/>
      <x:c r="B35" s="26"/>
      <x:c r="C35" s="26"/>
      <x:c r="D35" s="26"/>
      <x:c r="E35" s="26"/>
      <x:c r="F35" s="26"/>
      <x:c r="G35" s="26"/>
      <x:c r="H35" s="26"/>
    </x:row>
    <x:row r="36">
      <x:c r="A36" s="26"/>
      <x:c r="B36" s="26"/>
      <x:c r="C36" s="26"/>
      <x:c r="D36" s="26"/>
      <x:c r="E36" s="26"/>
      <x:c r="F36" s="26"/>
      <x:c r="G36" s="26"/>
      <x:c r="H36" s="26"/>
    </x:row>
    <x:row r="37">
      <x:c r="A37" s="26"/>
      <x:c r="B37" s="26"/>
      <x:c r="C37" s="26"/>
      <x:c r="D37" s="26"/>
      <x:c r="E37" s="26"/>
      <x:c r="F37" s="26"/>
      <x:c r="G37" s="26"/>
      <x:c r="H37" s="26"/>
    </x:row>
    <x:row r="38">
      <x:c r="A38" s="26"/>
      <x:c r="B38" s="26"/>
      <x:c r="C38" s="26"/>
      <x:c r="D38" s="26"/>
      <x:c r="E38" s="26"/>
      <x:c r="F38" s="26"/>
      <x:c r="G38" s="26"/>
      <x:c r="H38" s="26"/>
    </x:row>
    <x:row r="39">
      <x:c r="A39" s="26"/>
      <x:c r="B39" s="26"/>
      <x:c r="C39" s="26"/>
      <x:c r="D39" s="26"/>
      <x:c r="E39" s="26"/>
      <x:c r="F39" s="26"/>
      <x:c r="G39" s="26"/>
      <x:c r="H39" s="26"/>
    </x:row>
    <x:row r="40">
      <x:c r="A40" s="26"/>
      <x:c r="B40" s="26"/>
      <x:c r="C40" s="26"/>
      <x:c r="D40" s="26"/>
      <x:c r="E40" s="26"/>
      <x:c r="F40" s="26"/>
      <x:c r="G40" s="26"/>
      <x:c r="H40" s="26"/>
    </x:row>
    <x:row r="41">
      <x:c r="A41" s="26"/>
      <x:c r="B41" s="26"/>
      <x:c r="C41" s="26"/>
      <x:c r="D41" s="26"/>
      <x:c r="E41" s="26"/>
      <x:c r="F41" s="26"/>
      <x:c r="G41" s="26"/>
      <x:c r="H41" s="26"/>
    </x:row>
    <x:row r="42">
      <x:c r="A42" s="26"/>
      <x:c r="B42" s="26"/>
      <x:c r="C42" s="26"/>
      <x:c r="D42" s="26"/>
      <x:c r="E42" s="26"/>
      <x:c r="F42" s="26"/>
      <x:c r="G42" s="26"/>
      <x:c r="H42" s="26"/>
    </x:row>
    <x:row r="43">
      <x:c r="A43" s="26"/>
      <x:c r="B43" s="26"/>
      <x:c r="C43" s="26"/>
      <x:c r="D43" s="26"/>
      <x:c r="E43" s="26"/>
      <x:c r="F43" s="26"/>
      <x:c r="G43" s="26"/>
      <x:c r="H43" s="26"/>
    </x:row>
    <x:row r="44">
      <x:c r="A44" s="26"/>
      <x:c r="B44" s="26"/>
      <x:c r="C44" s="26"/>
      <x:c r="D44" s="26"/>
      <x:c r="E44" s="26"/>
      <x:c r="F44" s="26"/>
      <x:c r="G44" s="26"/>
      <x:c r="H44" s="26"/>
    </x:row>
    <x:row r="45">
      <x:c r="A45" s="26"/>
      <x:c r="B45" s="26"/>
      <x:c r="C45" s="26"/>
      <x:c r="D45" s="26"/>
      <x:c r="E45" s="26"/>
      <x:c r="F45" s="26"/>
      <x:c r="G45" s="26"/>
      <x:c r="H45" s="26"/>
    </x:row>
    <x:row r="46">
      <x:c r="A46" s="26"/>
      <x:c r="B46" s="26"/>
      <x:c r="C46" s="26"/>
      <x:c r="D46" s="26"/>
      <x:c r="E46" s="26"/>
      <x:c r="F46" s="26"/>
      <x:c r="G46" s="26"/>
      <x:c r="H46" s="26"/>
    </x:row>
    <x:row r="47">
      <x:c r="A47" s="26"/>
      <x:c r="B47" s="26"/>
      <x:c r="C47" s="26"/>
      <x:c r="D47" s="26"/>
      <x:c r="E47" s="26"/>
      <x:c r="F47" s="26"/>
      <x:c r="G47" s="26"/>
      <x:c r="H47" s="26"/>
    </x:row>
    <x:row r="48">
      <x:c r="A48" s="26"/>
      <x:c r="B48" s="26"/>
      <x:c r="C48" s="26"/>
      <x:c r="D48" s="26"/>
      <x:c r="E48" s="26"/>
      <x:c r="F48" s="26"/>
      <x:c r="G48" s="26"/>
      <x:c r="H48" s="26"/>
    </x:row>
    <x:row r="49">
      <x:c r="A49" s="26"/>
      <x:c r="B49" s="26"/>
      <x:c r="C49" s="26"/>
      <x:c r="D49" s="26"/>
      <x:c r="E49" s="26"/>
      <x:c r="F49" s="26"/>
      <x:c r="G49" s="26"/>
      <x:c r="H49" s="26"/>
    </x:row>
    <x:row r="50">
      <x:c r="A50" s="26"/>
      <x:c r="B50" s="26"/>
      <x:c r="C50" s="26"/>
      <x:c r="D50" s="26"/>
      <x:c r="E50" s="26"/>
      <x:c r="F50" s="26"/>
      <x:c r="G50" s="26"/>
      <x:c r="H50" s="26"/>
    </x:row>
  </x:sheetData>
  <x:dataValidations count="2">
    <x:dataValidation type="list" sqref="F2:F100">
      <x:formula1>"Critical,High,Medium,Low"</x:formula1>
    </x:dataValidation>
    <x:dataValidation type="list" sqref="G2:G100">
      <x:formula1>"Not Started,Planned,Partial,Implemented,Implemented &amp; Tested,Automated &amp; Monitored,N/A"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63f5fbf9224ba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62" hidden="0" customWidth="1"/>
    <x:col min="4" max="4" width="24" hidden="0" customWidth="1"/>
    <x:col min="5" max="5" width="40" hidden="0" customWidth="1"/>
    <x:col min="6" max="6" width="35" hidden="0" customWidth="1"/>
  </x:cols>
  <x:sheetData>
    <x:row r="1" ht="32" customHeight="1">
      <x:c r="A1" s="6" t="str">
        <x:v>Phase</x:v>
      </x:c>
      <x:c r="B1" s="6" t="str">
        <x:v>Step</x:v>
      </x:c>
      <x:c r="C1" s="6" t="str">
        <x:v>Action</x:v>
      </x:c>
      <x:c r="D1" s="6" t="str">
        <x:v>Owner</x:v>
      </x:c>
      <x:c r="E1" s="6" t="str">
        <x:v>Evidence / Logs</x:v>
      </x:c>
      <x:c r="F1" s="6" t="str">
        <x:v>Notes</x:v>
      </x:c>
    </x:row>
    <x:row r="2">
      <x:c r="A2" s="26" t="str">
        <x:v>Prepare</x:v>
      </x:c>
      <x:c r="B2" s="26" t="str">
        <x:v>1</x:v>
      </x:c>
      <x:c r="C2" s="26" t="str">
        <x:v>Define AI incident categories: data leakage, secrets in prompt, prompt injection, RAG leak, agent misuse, AI API key abuse</x:v>
      </x:c>
      <x:c r="D2" s="26" t="str">
        <x:v>SOC / IR</x:v>
      </x:c>
      <x:c r="E2" s="26" t="str">
        <x:v>Incident taxonomy</x:v>
      </x:c>
      <x:c r="F2" s="26" t="str"/>
    </x:row>
    <x:row r="3">
      <x:c r="A3" s="26" t="str">
        <x:v>Detect</x:v>
      </x:c>
      <x:c r="B3" s="26" t="str">
        <x:v>2</x:v>
      </x:c>
      <x:c r="C3" s="26" t="str">
        <x:v>Correlate AI gateway, DLP, SWG/CASB, identity, OAuth, endpoint, Git, and cloud logs</x:v>
      </x:c>
      <x:c r="D3" s="26" t="str">
        <x:v>SOC</x:v>
      </x:c>
      <x:c r="E3" s="26" t="str">
        <x:v>SIEM alert, DLP event, gateway request ID</x:v>
      </x:c>
      <x:c r="F3" s="26" t="str"/>
    </x:row>
    <x:row r="4">
      <x:c r="A4" s="26" t="str">
        <x:v>Triage</x:v>
      </x:c>
      <x:c r="B4" s="26" t="str">
        <x:v>3</x:v>
      </x:c>
      <x:c r="C4" s="26" t="str">
        <x:v>Identify user, app/tool, model provider, data involved, classification, action taken, and whether data reached external provider</x:v>
      </x:c>
      <x:c r="D4" s="26" t="str">
        <x:v>SOC / Data Owner</x:v>
      </x:c>
      <x:c r="E4" s="26" t="str">
        <x:v>Prompt metadata, file hash, DLP classification</x:v>
      </x:c>
      <x:c r="F4" s="26" t="str">
        <x:v>Avoid over-retaining sensitive prompt content.</x:v>
      </x:c>
    </x:row>
    <x:row r="5">
      <x:c r="A5" s="26" t="str">
        <x:v>Contain</x:v>
      </x:c>
      <x:c r="B5" s="26" t="str">
        <x:v>4</x:v>
      </x:c>
      <x:c r="C5" s="26" t="str">
        <x:v>Block AI tool/app, revoke OAuth app, suspend API key, disable connector, or isolate endpoint if needed</x:v>
      </x:c>
      <x:c r="D5" s="26" t="str">
        <x:v>Security Engineering</x:v>
      </x:c>
      <x:c r="E5" s="26" t="str">
        <x:v>Policy change, revoke record</x:v>
      </x:c>
      <x:c r="F5" s="26" t="str"/>
    </x:row>
    <x:row r="6">
      <x:c r="A6" s="26" t="str">
        <x:v>Eradicate</x:v>
      </x:c>
      <x:c r="B6" s="26" t="str">
        <x:v>5</x:v>
      </x:c>
      <x:c r="C6" s="26" t="str">
        <x:v>Rotate leaked credentials, remove exposed documents from index, fix RAG ACLs, patch agent tool permissions</x:v>
      </x:c>
      <x:c r="D6" s="26" t="str">
        <x:v>AppSec / Platform</x:v>
      </x:c>
      <x:c r="E6" s="26" t="str">
        <x:v>Rotation ticket, PR, config diff</x:v>
      </x:c>
      <x:c r="F6" s="26" t="str"/>
    </x:row>
    <x:row r="7">
      <x:c r="A7" s="26" t="str">
        <x:v>Notify</x:v>
      </x:c>
      <x:c r="B7" s="26" t="str">
        <x:v>6</x:v>
      </x:c>
      <x:c r="C7" s="26" t="str">
        <x:v>Notify privacy/legal/compliance if personal data, customer data, or regulated data was involved</x:v>
      </x:c>
      <x:c r="D7" s="26" t="str">
        <x:v>IR Lead / Legal</x:v>
      </x:c>
      <x:c r="E7" s="26" t="str">
        <x:v>Notification decision log</x:v>
      </x:c>
      <x:c r="F7" s="26" t="str"/>
    </x:row>
    <x:row r="8">
      <x:c r="A8" s="26" t="str">
        <x:v>Recover</x:v>
      </x:c>
      <x:c r="B8" s="26" t="str">
        <x:v>7</x:v>
      </x:c>
      <x:c r="C8" s="26" t="str">
        <x:v>Restore safe AI access through approved path and verify guardrails/detections are working</x:v>
      </x:c>
      <x:c r="D8" s="26" t="str">
        <x:v>Platform / SOC</x:v>
      </x:c>
      <x:c r="E8" s="26" t="str">
        <x:v>Test evidence</x:v>
      </x:c>
      <x:c r="F8" s="26" t="str"/>
    </x:row>
    <x:row r="9">
      <x:c r="A9" s="26" t="str">
        <x:v>Lessons Learned</x:v>
      </x:c>
      <x:c r="B9" s="26" t="str">
        <x:v>8</x:v>
      </x:c>
      <x:c r="C9" s="26" t="str">
        <x:v>Update policies, guardrails, detections, user coaching, and vendor controls</x:v>
      </x:c>
      <x:c r="D9" s="26" t="str">
        <x:v>AI Security</x:v>
      </x:c>
      <x:c r="E9" s="26" t="str">
        <x:v>Post-incident report</x:v>
      </x:c>
      <x:c r="F9" s="26" t="str"/>
    </x:row>
    <x:row r="10">
      <x:c r="A10" s="26"/>
      <x:c r="B10" s="26"/>
      <x:c r="C10" s="26"/>
      <x:c r="D10" s="26"/>
      <x:c r="E10" s="26"/>
      <x:c r="F10" s="26"/>
    </x:row>
    <x:row r="11">
      <x:c r="A11" s="26"/>
      <x:c r="B11" s="26"/>
      <x:c r="C11" s="26"/>
      <x:c r="D11" s="26"/>
      <x:c r="E11" s="26"/>
      <x:c r="F11" s="26"/>
    </x:row>
    <x:row r="12">
      <x:c r="A12" s="26"/>
      <x:c r="B12" s="26"/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26"/>
      <x:c r="B14" s="26"/>
      <x:c r="C14" s="26"/>
      <x:c r="D14" s="26"/>
      <x:c r="E14" s="26"/>
      <x:c r="F14" s="26"/>
    </x:row>
    <x:row r="15">
      <x:c r="A15" s="26"/>
      <x:c r="B15" s="26"/>
      <x:c r="C15" s="26"/>
      <x:c r="D15" s="26"/>
      <x:c r="E15" s="26"/>
      <x:c r="F15" s="26"/>
    </x:row>
    <x:row r="16">
      <x:c r="A16" s="26"/>
      <x:c r="B16" s="26"/>
      <x:c r="C16" s="26"/>
      <x:c r="D16" s="26"/>
      <x:c r="E16" s="26"/>
      <x:c r="F16" s="26"/>
    </x:row>
    <x:row r="17">
      <x:c r="A17" s="26"/>
      <x:c r="B17" s="26"/>
      <x:c r="C17" s="26"/>
      <x:c r="D17" s="26"/>
      <x:c r="E17" s="26"/>
      <x:c r="F17" s="26"/>
    </x:row>
    <x:row r="18">
      <x:c r="A18" s="26"/>
      <x:c r="B18" s="26"/>
      <x:c r="C18" s="26"/>
      <x:c r="D18" s="26"/>
      <x:c r="E18" s="26"/>
      <x:c r="F18" s="26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  <x:row r="21">
      <x:c r="A21" s="26"/>
      <x:c r="B21" s="26"/>
      <x:c r="C21" s="26"/>
      <x:c r="D21" s="26"/>
      <x:c r="E21" s="26"/>
      <x:c r="F21" s="26"/>
    </x:row>
    <x:row r="22">
      <x:c r="A22" s="26"/>
      <x:c r="B22" s="26"/>
      <x:c r="C22" s="26"/>
      <x:c r="D22" s="26"/>
      <x:c r="E22" s="26"/>
      <x:c r="F22" s="26"/>
    </x:row>
    <x:row r="23">
      <x:c r="A23" s="26"/>
      <x:c r="B23" s="26"/>
      <x:c r="C23" s="26"/>
      <x:c r="D23" s="26"/>
      <x:c r="E23" s="26"/>
      <x:c r="F23" s="26"/>
    </x:row>
    <x:row r="24">
      <x:c r="A24" s="26"/>
      <x:c r="B24" s="26"/>
      <x:c r="C24" s="26"/>
      <x:c r="D24" s="26"/>
      <x:c r="E24" s="26"/>
      <x:c r="F24" s="26"/>
    </x:row>
    <x:row r="25">
      <x:c r="A25" s="26"/>
      <x:c r="B25" s="26"/>
      <x:c r="C25" s="26"/>
      <x:c r="D25" s="26"/>
      <x:c r="E25" s="26"/>
      <x:c r="F25" s="26"/>
    </x:row>
    <x:row r="26">
      <x:c r="A26" s="26"/>
      <x:c r="B26" s="26"/>
      <x:c r="C26" s="26"/>
      <x:c r="D26" s="26"/>
      <x:c r="E26" s="26"/>
      <x:c r="F26" s="26"/>
    </x:row>
    <x:row r="27">
      <x:c r="A27" s="26"/>
      <x:c r="B27" s="26"/>
      <x:c r="C27" s="26"/>
      <x:c r="D27" s="26"/>
      <x:c r="E27" s="26"/>
      <x:c r="F27" s="26"/>
    </x:row>
    <x:row r="28">
      <x:c r="A28" s="26"/>
      <x:c r="B28" s="26"/>
      <x:c r="C28" s="26"/>
      <x:c r="D28" s="26"/>
      <x:c r="E28" s="26"/>
      <x:c r="F28" s="26"/>
    </x:row>
    <x:row r="29">
      <x:c r="A29" s="26"/>
      <x:c r="B29" s="26"/>
      <x:c r="C29" s="26"/>
      <x:c r="D29" s="26"/>
      <x:c r="E29" s="26"/>
      <x:c r="F29" s="26"/>
    </x:row>
    <x:row r="30">
      <x:c r="A30" s="26"/>
      <x:c r="B30" s="26"/>
      <x:c r="C30" s="26"/>
      <x:c r="D30" s="26"/>
      <x:c r="E30" s="26"/>
      <x:c r="F30" s="26"/>
    </x:row>
    <x:row r="31">
      <x:c r="A31" s="26"/>
      <x:c r="B31" s="26"/>
      <x:c r="C31" s="26"/>
      <x:c r="D31" s="26"/>
      <x:c r="E31" s="26"/>
      <x:c r="F31" s="26"/>
    </x:row>
    <x:row r="32">
      <x:c r="A32" s="26"/>
      <x:c r="B32" s="26"/>
      <x:c r="C32" s="26"/>
      <x:c r="D32" s="26"/>
      <x:c r="E32" s="26"/>
      <x:c r="F32" s="26"/>
    </x:row>
    <x:row r="33">
      <x:c r="A33" s="26"/>
      <x:c r="B33" s="26"/>
      <x:c r="C33" s="26"/>
      <x:c r="D33" s="26"/>
      <x:c r="E33" s="26"/>
      <x:c r="F33" s="26"/>
    </x:row>
    <x:row r="34">
      <x:c r="A34" s="26"/>
      <x:c r="B34" s="26"/>
      <x:c r="C34" s="26"/>
      <x:c r="D34" s="26"/>
      <x:c r="E34" s="26"/>
      <x:c r="F34" s="26"/>
    </x:row>
    <x:row r="35">
      <x:c r="A35" s="26"/>
      <x:c r="B35" s="26"/>
      <x:c r="C35" s="26"/>
      <x:c r="D35" s="26"/>
      <x:c r="E35" s="26"/>
      <x:c r="F35" s="26"/>
    </x:row>
    <x:row r="36">
      <x:c r="A36" s="26"/>
      <x:c r="B36" s="26"/>
      <x:c r="C36" s="26"/>
      <x:c r="D36" s="26"/>
      <x:c r="E36" s="26"/>
      <x:c r="F36" s="26"/>
    </x:row>
    <x:row r="37">
      <x:c r="A37" s="26"/>
      <x:c r="B37" s="26"/>
      <x:c r="C37" s="26"/>
      <x:c r="D37" s="26"/>
      <x:c r="E37" s="26"/>
      <x:c r="F37" s="26"/>
    </x:row>
    <x:row r="38">
      <x:c r="A38" s="26"/>
      <x:c r="B38" s="26"/>
      <x:c r="C38" s="26"/>
      <x:c r="D38" s="26"/>
      <x:c r="E38" s="26"/>
      <x:c r="F38" s="26"/>
    </x:row>
    <x:row r="39">
      <x:c r="A39" s="26"/>
      <x:c r="B39" s="26"/>
      <x:c r="C39" s="26"/>
      <x:c r="D39" s="26"/>
      <x:c r="E39" s="26"/>
      <x:c r="F39" s="26"/>
    </x:row>
    <x:row r="40">
      <x:c r="A40" s="26"/>
      <x:c r="B40" s="26"/>
      <x:c r="C40" s="26"/>
      <x:c r="D40" s="26"/>
      <x:c r="E40" s="26"/>
      <x:c r="F40" s="26"/>
    </x:row>
    <x:row r="41">
      <x:c r="A41" s="26"/>
      <x:c r="B41" s="26"/>
      <x:c r="C41" s="26"/>
      <x:c r="D41" s="26"/>
      <x:c r="E41" s="26"/>
      <x:c r="F41" s="26"/>
    </x:row>
    <x:row r="42">
      <x:c r="A42" s="26"/>
      <x:c r="B42" s="26"/>
      <x:c r="C42" s="26"/>
      <x:c r="D42" s="26"/>
      <x:c r="E42" s="26"/>
      <x:c r="F42" s="26"/>
    </x:row>
    <x:row r="43">
      <x:c r="A43" s="26"/>
      <x:c r="B43" s="26"/>
      <x:c r="C43" s="26"/>
      <x:c r="D43" s="26"/>
      <x:c r="E43" s="26"/>
      <x:c r="F43" s="26"/>
    </x:row>
    <x:row r="44">
      <x:c r="A44" s="26"/>
      <x:c r="B44" s="26"/>
      <x:c r="C44" s="26"/>
      <x:c r="D44" s="26"/>
      <x:c r="E44" s="26"/>
      <x:c r="F44" s="26"/>
    </x:row>
    <x:row r="45">
      <x:c r="A45" s="26"/>
      <x:c r="B45" s="26"/>
      <x:c r="C45" s="26"/>
      <x:c r="D45" s="26"/>
      <x:c r="E45" s="26"/>
      <x:c r="F45" s="26"/>
    </x:row>
    <x:row r="46">
      <x:c r="A46" s="26"/>
      <x:c r="B46" s="26"/>
      <x:c r="C46" s="26"/>
      <x:c r="D46" s="26"/>
      <x:c r="E46" s="26"/>
      <x:c r="F46" s="26"/>
    </x:row>
    <x:row r="47">
      <x:c r="A47" s="26"/>
      <x:c r="B47" s="26"/>
      <x:c r="C47" s="26"/>
      <x:c r="D47" s="26"/>
      <x:c r="E47" s="26"/>
      <x:c r="F47" s="26"/>
    </x:row>
    <x:row r="48">
      <x:c r="A48" s="26"/>
      <x:c r="B48" s="26"/>
      <x:c r="C48" s="26"/>
      <x:c r="D48" s="26"/>
      <x:c r="E48" s="26"/>
      <x:c r="F48" s="26"/>
    </x:row>
    <x:row r="49">
      <x:c r="A49" s="26"/>
      <x:c r="B49" s="26"/>
      <x:c r="C49" s="26"/>
      <x:c r="D49" s="26"/>
      <x:c r="E49" s="26"/>
      <x:c r="F49" s="26"/>
    </x:row>
    <x:row r="50">
      <x:c r="A50" s="26"/>
      <x:c r="B50" s="26"/>
      <x:c r="C50" s="26"/>
      <x:c r="D50" s="26"/>
      <x:c r="E50" s="26"/>
      <x:c r="F50" s="26"/>
    </x:row>
  </x:sheetData>
  <x:pageMargins left="0.7" right="0.7" top="0.75" bottom="0.75" header="0.3" footer="0.3"/>
  <x:tableParts count="1">
    <x:tablePart xmlns:r="http://schemas.openxmlformats.org/officeDocument/2006/relationships" r:id="R7fddf547f5f242c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5" hidden="0" customWidth="1"/>
    <x:col min="3" max="3" width="70" hidden="0" customWidth="1"/>
  </x:cols>
  <x:sheetData>
    <x:row r="1">
      <x:c r="A1" s="6" t="str">
        <x:v>Framework / Source</x:v>
      </x:c>
      <x:c r="B1" s="6" t="str">
        <x:v>What it supports in this workbook</x:v>
      </x:c>
      <x:c r="C1" s="6" t="str">
        <x:v>URL</x:v>
      </x:c>
    </x:row>
    <x:row r="2">
      <x:c r="A2" t="str">
        <x:v>NIST AI Risk Management Framework (AI RMF 1.0)</x:v>
      </x:c>
      <x:c r="B2" t="str">
        <x:v>Govern / Map / Measure / Manage structure for AI risk management</x:v>
      </x:c>
      <x:c r="C2" t="str">
        <x:v>https://www.nist.gov/itl/ai-risk-management-framework</x:v>
      </x:c>
    </x:row>
    <x:row r="3">
      <x:c r="A3" t="str">
        <x:v>NIST AI 600-1 Generative AI Profile</x:v>
      </x:c>
      <x:c r="B3" t="str">
        <x:v>Generative AI-specific risk actions, incident communications, content provenance, data leakage, security testing</x:v>
      </x:c>
      <x:c r="C3" t="str">
        <x:v>https://www.nist.gov/publications/artificial-intelligence-risk-management-framework-generative-artificial-intelligence</x:v>
      </x:c>
    </x:row>
    <x:row r="4">
      <x:c r="A4" t="str">
        <x:v>ISO/IEC 42001:2023</x:v>
      </x:c>
      <x:c r="B4" t="str">
        <x:v>AI management system governance, roles, policies, monitoring, continual improvement</x:v>
      </x:c>
      <x:c r="C4" t="str">
        <x:v>https://www.iso.org/standard/42001</x:v>
      </x:c>
    </x:row>
    <x:row r="5">
      <x:c r="A5" t="str">
        <x:v>ISO/IEC 23894:2023</x:v>
      </x:c>
      <x:c r="B5" t="str">
        <x:v>AI-specific risk management process and integration with organizational risk management</x:v>
      </x:c>
      <x:c r="C5" t="str">
        <x:v>https://www.iso.org/standard/77304.html</x:v>
      </x:c>
    </x:row>
    <x:row r="6">
      <x:c r="A6" t="str">
        <x:v>OWASP Top 10 for LLM Applications 2025</x:v>
      </x:c>
      <x:c r="B6" t="str">
        <x:v>Technical LLM application risks: prompt injection, sensitive information disclosure, excessive agency, supply chain</x:v>
      </x:c>
      <x:c r="C6" t="str">
        <x:v>https://genai.owasp.org/llm-top-10/</x:v>
      </x:c>
    </x:row>
    <x:row r="7">
      <x:c r="A7" t="str">
        <x:v>MITRE ATLAS</x:v>
      </x:c>
      <x:c r="B7" t="str">
        <x:v>Adversarial AI tactics and techniques for detection and threat modelling</x:v>
      </x:c>
      <x:c r="C7" t="str">
        <x:v>https://atlas.mitre.org/</x:v>
      </x:c>
    </x:row>
    <x:row r="8">
      <x:c r="A8" t="str">
        <x:v>EU AI Act</x:v>
      </x:c>
      <x:c r="B8" t="str">
        <x:v>Risk-based AI regulatory classification and high-risk system lifecycle controls</x:v>
      </x:c>
      <x:c r="C8" t="str">
        <x:v>https://digital-strategy.ec.europa.eu/en/policies/regulatory-framework-ai</x:v>
      </x:c>
    </x:row>
    <x:row r="9">
      <x:c r="A9" t="str">
        <x:v>Cloud Security Alliance AI Controls Matrix</x:v>
      </x:c>
      <x:c r="B9" t="str">
        <x:v>Cloud-based AI control categories and operational control mapping</x:v>
      </x:c>
      <x:c r="C9" t="str">
        <x:v>https://cloudsecurityalliance.org/artifacts/ai-controls-matrix-v1-1</x:v>
      </x:c>
    </x:row>
  </x:sheetData>
  <x:pageMargins left="0.7" right="0.7" top="0.75" bottom="0.75" header="0.3" footer="0.3"/>
  <x:tableParts count="1">
    <x:tablePart xmlns:r="http://schemas.openxmlformats.org/officeDocument/2006/relationships" r:id="Rca333cb936c340d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6" t="str">
        <x:v>Status Values</x:v>
      </x:c>
      <x:c r="C1" s="6" t="str">
        <x:v>Priority Values</x:v>
      </x:c>
      <x:c r="E1" s="6" t="str">
        <x:v>Risk Tier Values</x:v>
      </x:c>
      <x:c r="G1" s="6" t="str">
        <x:v>Data Classification</x:v>
      </x:c>
      <x:c r="I1" s="6" t="str">
        <x:v>Guardrail Decision</x:v>
      </x:c>
    </x:row>
    <x:row r="2">
      <x:c r="A2" t="str">
        <x:v>Not Started</x:v>
      </x:c>
      <x:c r="C2" t="str">
        <x:v>Critical</x:v>
      </x:c>
      <x:c r="E2" t="str">
        <x:v>Low</x:v>
      </x:c>
      <x:c r="G2" t="str">
        <x:v>Public</x:v>
      </x:c>
      <x:c r="I2" t="str">
        <x:v>Allow</x:v>
      </x:c>
    </x:row>
    <x:row r="3">
      <x:c r="A3" t="str">
        <x:v>Planned</x:v>
      </x:c>
      <x:c r="C3" t="str">
        <x:v>High</x:v>
      </x:c>
      <x:c r="E3" t="str">
        <x:v>Medium</x:v>
      </x:c>
      <x:c r="G3" t="str">
        <x:v>Internal</x:v>
      </x:c>
      <x:c r="I3" t="str">
        <x:v>Warn</x:v>
      </x:c>
    </x:row>
    <x:row r="4">
      <x:c r="A4" t="str">
        <x:v>Partial</x:v>
      </x:c>
      <x:c r="C4" t="str">
        <x:v>Medium</x:v>
      </x:c>
      <x:c r="E4" t="str">
        <x:v>High</x:v>
      </x:c>
      <x:c r="G4" t="str">
        <x:v>Confidential</x:v>
      </x:c>
      <x:c r="I4" t="str">
        <x:v>Redact</x:v>
      </x:c>
    </x:row>
    <x:row r="5">
      <x:c r="A5" t="str">
        <x:v>Implemented</x:v>
      </x:c>
      <x:c r="C5" t="str">
        <x:v>Low</x:v>
      </x:c>
      <x:c r="E5" t="str">
        <x:v>Critical</x:v>
      </x:c>
      <x:c r="G5" t="str">
        <x:v>Restricted</x:v>
      </x:c>
      <x:c r="I5" t="str">
        <x:v>Tokenize</x:v>
      </x:c>
    </x:row>
    <x:row r="6">
      <x:c r="A6" t="str">
        <x:v>Implemented &amp; Tested</x:v>
      </x:c>
      <x:c r="G6" t="str">
        <x:v>Secrets/Credentials</x:v>
      </x:c>
      <x:c r="I6" t="str">
        <x:v>Block</x:v>
      </x:c>
    </x:row>
    <x:row r="7">
      <x:c r="A7" t="str">
        <x:v>Automated &amp; Monitored</x:v>
      </x:c>
      <x:c r="I7" t="str">
        <x:v>Exception Required</x:v>
      </x:c>
    </x:row>
    <x:row r="8">
      <x:c r="A8" t="str">
        <x:v>N/A</x:v>
      </x:c>
    </x:row>
  </x:sheetData>
  <x:pageMargins left="0.7" right="0.7" top="0.75" bottom="0.75" header="0.3" footer="0.3"/>
</x:worksheet>
</file>